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User Stories" sheetId="2" state="visible" r:id="rId2"/>
    <sheet name="Test Runs" sheetId="3" state="visible" r:id="rId3"/>
    <sheet name="Defects" sheetId="4" state="visible" r:id="rId4"/>
    <sheet name="README" sheetId="5" state="visible" r:id="rId5"/>
  </sheets>
  <definedNames>
    <definedName name="_xlnm._FilterDatabase" localSheetId="1" hidden="1">'User Stories'!$A$1:$K$334</definedName>
    <definedName name="_xlnm._FilterDatabase" localSheetId="2" hidden="1">'Test Runs'!$A$1:$F$23</definedName>
    <definedName name="_xlnm._FilterDatabase" localSheetId="3" hidden="1">'Defects'!$A$1:$G$19</definedName>
    <definedName name="_xlnm._FilterDatabase" localSheetId="4" hidden="1">'README'!$A$1:$B$9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17365D"/>
    </font>
    <font>
      <b val="1"/>
      <color rgb="00172033"/>
      <sz val="13"/>
    </font>
    <font>
      <b val="1"/>
      <color rgb="00172033"/>
    </font>
    <font>
      <b val="1"/>
      <color rgb="007F6000"/>
    </font>
    <font>
      <color rgb="00172033"/>
      <sz val="10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F75B5"/>
      </patternFill>
    </fill>
    <fill>
      <patternFill patternType="solid">
        <fgColor rgb="00D9EAF7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  <border>
      <bottom style="medium">
        <color rgb="002F75B5"/>
      </bottom>
    </border>
    <border>
      <bottom style="thin">
        <color rgb="00D9E1F2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/>
    </xf>
    <xf numFmtId="0" fontId="0" fillId="0" borderId="1" pivotButton="0" quotePrefix="0" xfId="0"/>
    <xf numFmtId="0" fontId="3" fillId="4" borderId="1" pivotButton="0" quotePrefix="0" xfId="0"/>
    <xf numFmtId="0" fontId="4" fillId="5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/>
    </xf>
    <xf numFmtId="0" fontId="6" fillId="6" borderId="1" applyAlignment="1" pivotButton="0" quotePrefix="0" xfId="0">
      <alignment vertical="center" wrapText="1"/>
    </xf>
    <xf numFmtId="0" fontId="2" fillId="2" borderId="2" applyAlignment="1" pivotButton="0" quotePrefix="0" xfId="0">
      <alignment horizontal="center" vertical="center" wrapText="1"/>
    </xf>
    <xf numFmtId="0" fontId="7" fillId="0" borderId="3" applyAlignment="1" pivotButton="0" quotePrefix="0" xfId="0">
      <alignment vertical="top" wrapText="1"/>
    </xf>
    <xf numFmtId="0" fontId="3" fillId="0" borderId="3" applyAlignment="1" pivotButton="0" quotePrefix="0" xfId="0">
      <alignment vertical="top" wrapText="1"/>
    </xf>
  </cellXfs>
  <cellStyles count="1">
    <cellStyle name="Normal" xfId="0" builtinId="0" hidden="0"/>
  </cellStyles>
  <dxfs count="6">
    <dxf>
      <font>
        <b val="1"/>
        <color rgb="00275D38"/>
      </font>
      <fill>
        <patternFill patternType="solid">
          <fgColor rgb="00E2F0D9"/>
        </patternFill>
      </fill>
    </dxf>
    <dxf>
      <font>
        <b val="1"/>
        <color rgb="0017365D"/>
      </font>
      <fill>
        <patternFill patternType="solid">
          <fgColor rgb="00D9EAF7"/>
        </patternFill>
      </fill>
    </dxf>
    <dxf>
      <font>
        <b val="1"/>
        <color rgb="004C3167"/>
      </font>
      <fill>
        <patternFill patternType="solid">
          <fgColor rgb="00E4DFEC"/>
        </patternFill>
      </fill>
    </dxf>
    <dxf>
      <font>
        <b val="1"/>
        <color rgb="007F6000"/>
      </font>
      <fill>
        <patternFill patternType="solid">
          <fgColor rgb="00FFF2CC"/>
        </patternFill>
      </fill>
    </dxf>
    <dxf>
      <font>
        <b val="1"/>
        <color rgb="009C0006"/>
      </font>
      <fill>
        <patternFill patternType="solid">
          <fgColor rgb="00FCE4D6"/>
        </patternFill>
      </fill>
    </dxf>
    <dxf>
      <font>
        <b val="1"/>
        <color rgb="00404040"/>
      </font>
      <fill>
        <patternFill patternType="solid">
          <fgColor rgb="00E7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Feature status distribution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'Dashboard'!E3</f>
            </strRef>
          </tx>
          <spPr>
            <a:ln>
              <a:prstDash val="solid"/>
            </a:ln>
          </spPr>
          <cat>
            <numRef>
              <f>'Dashboard'!$D$4:$D$9</f>
            </numRef>
          </cat>
          <val>
            <numRef>
              <f>'Dashboard'!$E$4:$E$9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Stories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Status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</row>
      <rowOff>0</rowOff>
    </from>
    <ext cx="612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UserStories" displayName="UserStories" ref="A1:K334" headerRowCount="1">
  <autoFilter ref="A1:K334"/>
  <tableColumns count="11">
    <tableColumn id="1" name="Feature ID"/>
    <tableColumn id="2" name="Area"/>
    <tableColumn id="3" name="Feature"/>
    <tableColumn id="4" name="Type"/>
    <tableColumn id="5" name="User Story"/>
    <tableColumn id="6" name="Expected Behavior"/>
    <tableColumn id="7" name="Source Evidence"/>
    <tableColumn id="8" name="Test Evidence"/>
    <tableColumn id="9" name="Status"/>
    <tableColumn id="10" name="Human Gate"/>
    <tableColumn id="11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estRuns" displayName="TestRuns" ref="A1:F23" headerRowCount="1">
  <autoFilter ref="A1:F23"/>
  <tableColumns count="6">
    <tableColumn id="1" name="Run ID"/>
    <tableColumn id="2" name="Scope"/>
    <tableColumn id="3" name="Command"/>
    <tableColumn id="4" name="Result"/>
    <tableColumn id="5" name="Evidence"/>
    <tableColumn id="6" name="Cover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efects" displayName="Defects" ref="A1:G19" headerRowCount="1">
  <autoFilter ref="A1:G19"/>
  <tableColumns count="7">
    <tableColumn id="1" name="Defect ID"/>
    <tableColumn id="2" name="Area"/>
    <tableColumn id="3" name="Summary"/>
    <tableColumn id="4" name="Severity"/>
    <tableColumn id="5" name="Status"/>
    <tableColumn id="6" name="Fix"/>
    <tableColumn id="7" name="Verificat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WorkbookReadme" displayName="WorkbookReadme" ref="A1:B9" headerRowCount="1">
  <autoFilter ref="A1:B9"/>
  <tableColumns count="2">
    <tableColumn id="1" name="Field"/>
    <tableColumn id="2" name="Mean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tabColor rgb="0017365D"/>
    <outlinePr summaryBelow="1" summaryRight="1"/>
    <pageSetUpPr/>
  </sheetPr>
  <dimension ref="A1:E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5" customWidth="1" min="3" max="3"/>
    <col width="38" customWidth="1" min="4" max="4"/>
    <col width="16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 ht="38" customHeight="1">
      <c r="A1" s="1" t="inlineStr">
        <is>
          <t>Kurultai Feature &amp; User-Story Validation</t>
        </is>
      </c>
    </row>
    <row r="2"/>
    <row r="3">
      <c r="A3" s="2" t="inlineStr">
        <is>
          <t>Metric</t>
        </is>
      </c>
      <c r="B3" s="2" t="inlineStr">
        <is>
          <t>Value</t>
        </is>
      </c>
      <c r="C3" s="3" t="n"/>
      <c r="D3" s="2" t="inlineStr">
        <is>
          <t>Status</t>
        </is>
      </c>
      <c r="E3" s="2" t="inlineStr">
        <is>
          <t>Count</t>
        </is>
      </c>
    </row>
    <row r="4">
      <c r="A4" s="4" t="inlineStr">
        <is>
          <t>Total user stories</t>
        </is>
      </c>
      <c r="B4" s="5">
        <f>COUNTA('User Stories'!$A$2:$A$334)</f>
        <v/>
      </c>
      <c r="C4" s="3" t="n"/>
      <c r="D4" s="6" t="inlineStr">
        <is>
          <t>Pass</t>
        </is>
      </c>
      <c r="E4" s="7">
        <f>COUNTIF('User Stories'!$I$2:$I$334,D4)</f>
        <v/>
      </c>
    </row>
    <row r="5">
      <c r="A5" s="4" t="inlineStr">
        <is>
          <t>Passing/installed/verified</t>
        </is>
      </c>
      <c r="B5" s="5">
        <f>COUNTIF('User Stories'!$I$2:$I$334,"Pass")+COUNTIF('User Stories'!$I$2:$I$334,"Installed / contract verified")+COUNTIF('User Stories'!$I$2:$I$334,"Contract verified; not installed")</f>
        <v/>
      </c>
      <c r="C5" s="3" t="n"/>
      <c r="D5" s="6" t="inlineStr">
        <is>
          <t>Installed / contract verified</t>
        </is>
      </c>
      <c r="E5" s="7">
        <f>COUNTIF('User Stories'!$I$2:$I$334,D5)</f>
        <v/>
      </c>
    </row>
    <row r="6">
      <c r="A6" s="4" t="inlineStr">
        <is>
          <t>Human-gated</t>
        </is>
      </c>
      <c r="B6" s="5">
        <f>COUNTIF('User Stories'!$J$2:$J$334,"Yes")</f>
        <v/>
      </c>
      <c r="C6" s="3" t="n"/>
      <c r="D6" s="6" t="inlineStr">
        <is>
          <t>Contract verified; not installed</t>
        </is>
      </c>
      <c r="E6" s="7">
        <f>COUNTIF('User Stories'!$I$2:$I$334,D6)</f>
        <v/>
      </c>
    </row>
    <row r="7">
      <c r="A7" s="4" t="inlineStr">
        <is>
          <t>Blocked or unavailable</t>
        </is>
      </c>
      <c r="B7" s="5">
        <f>COUNTIF('User Stories'!$I$2:$I$334,"Blocked*")+COUNTIF('User Stories'!$I$2:$I$334,"*unavailable*")</f>
        <v/>
      </c>
      <c r="C7" s="3" t="n"/>
      <c r="D7" s="6" t="inlineStr">
        <is>
          <t>Pending human token</t>
        </is>
      </c>
      <c r="E7" s="7">
        <f>COUNTIF('User Stories'!$I$2:$I$334,D7)</f>
        <v/>
      </c>
    </row>
    <row r="8">
      <c r="A8" s="3" t="n"/>
      <c r="B8" s="3" t="n"/>
      <c r="C8" s="3" t="n"/>
      <c r="D8" s="6" t="inlineStr">
        <is>
          <t>Blocked: missing script</t>
        </is>
      </c>
      <c r="E8" s="7">
        <f>COUNTIF('User Stories'!$I$2:$I$334,D8)</f>
        <v/>
      </c>
    </row>
    <row r="9">
      <c r="A9" s="3" t="n"/>
      <c r="B9" s="3" t="n"/>
      <c r="C9" s="3" t="n"/>
      <c r="D9" s="6" t="inlineStr">
        <is>
          <t>Declared; package unavailable</t>
        </is>
      </c>
      <c r="E9" s="7">
        <f>COUNTIF('User Stories'!$I$2:$I$334,D9)</f>
        <v/>
      </c>
    </row>
    <row r="10">
      <c r="A10" s="3" t="n"/>
      <c r="B10" s="3" t="n"/>
      <c r="C10" s="3" t="n"/>
      <c r="D10" s="3" t="n"/>
      <c r="E10" s="3" t="n"/>
    </row>
    <row r="11" ht="42" customHeight="1">
      <c r="A11" s="8" t="inlineStr">
        <is>
          <t>Current human gate: the separate Ogedei Telegram gateway still needs its own credential.</t>
        </is>
      </c>
      <c r="B11" s="3" t="n"/>
      <c r="C11" s="3" t="n"/>
      <c r="D11" s="3" t="n"/>
      <c r="E11" s="3" t="n"/>
    </row>
  </sheetData>
  <mergeCells count="2">
    <mergeCell ref="A11:E11"/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F75B5"/>
    <outlinePr summaryBelow="1" summaryRight="1"/>
    <pageSetUpPr/>
  </sheetPr>
  <dimension ref="A1:K3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34" customWidth="1" min="3" max="3"/>
    <col width="22" customWidth="1" min="4" max="4"/>
    <col width="54" customWidth="1" min="5" max="5"/>
    <col width="58" customWidth="1" min="6" max="6"/>
    <col width="38" customWidth="1" min="7" max="7"/>
    <col width="40" customWidth="1" min="8" max="8"/>
    <col width="30" customWidth="1" min="9" max="9"/>
    <col width="14" customWidth="1" min="10" max="10"/>
    <col width="44" customWidth="1" min="11" max="11"/>
  </cols>
  <sheetData>
    <row r="1" ht="30" customHeight="1">
      <c r="A1" s="9" t="inlineStr">
        <is>
          <t>Feature ID</t>
        </is>
      </c>
      <c r="B1" s="9" t="inlineStr">
        <is>
          <t>Area</t>
        </is>
      </c>
      <c r="C1" s="9" t="inlineStr">
        <is>
          <t>Feature</t>
        </is>
      </c>
      <c r="D1" s="9" t="inlineStr">
        <is>
          <t>Type</t>
        </is>
      </c>
      <c r="E1" s="9" t="inlineStr">
        <is>
          <t>User Story</t>
        </is>
      </c>
      <c r="F1" s="9" t="inlineStr">
        <is>
          <t>Expected Behavior</t>
        </is>
      </c>
      <c r="G1" s="9" t="inlineStr">
        <is>
          <t>Source Evidence</t>
        </is>
      </c>
      <c r="H1" s="9" t="inlineStr">
        <is>
          <t>Test Evidence</t>
        </is>
      </c>
      <c r="I1" s="9" t="inlineStr">
        <is>
          <t>Status</t>
        </is>
      </c>
      <c r="J1" s="9" t="inlineStr">
        <is>
          <t>Human Gate</t>
        </is>
      </c>
      <c r="K1" s="9" t="inlineStr">
        <is>
          <t>Notes</t>
        </is>
      </c>
    </row>
    <row r="2" outlineLevel="1" ht="52" customHeight="1">
      <c r="A2" s="10" t="inlineStr">
        <is>
          <t>F-0001</t>
        </is>
      </c>
      <c r="B2" s="10" t="inlineStr">
        <is>
          <t>Installer</t>
        </is>
      </c>
      <c r="C2" s="10" t="inlineStr">
        <is>
          <t>Installer doctor</t>
        </is>
      </c>
      <c r="D2" s="10" t="inlineStr">
        <is>
          <t>Executable</t>
        </is>
      </c>
      <c r="E2" s="10" t="inlineStr">
        <is>
          <t>As a Kurultai operator, I want installer doctor so that the system behaves predictably and safely.</t>
        </is>
      </c>
      <c r="F2" s="10" t="inlineStr">
        <is>
          <t>Perform read-only environment, repository, identity, Brain, cron, skill, and runtime contract checks.</t>
        </is>
      </c>
      <c r="G2" s="10" t="inlineStr">
        <is>
          <t>scripts/install_kurultai.py</t>
        </is>
      </c>
      <c r="H2" s="10" t="inlineStr">
        <is>
          <t>test_doctor_json_reports_brain_identity_and_reconciliation</t>
        </is>
      </c>
      <c r="I2" s="10" t="inlineStr">
        <is>
          <t>Pass</t>
        </is>
      </c>
      <c r="J2" s="10" t="inlineStr">
        <is>
          <t>No</t>
        </is>
      </c>
      <c r="K2" s="10" t="inlineStr"/>
    </row>
    <row r="3" outlineLevel="1" ht="52" customHeight="1">
      <c r="A3" s="10" t="inlineStr">
        <is>
          <t>F-0002</t>
        </is>
      </c>
      <c r="B3" s="10" t="inlineStr">
        <is>
          <t>Installer</t>
        </is>
      </c>
      <c r="C3" s="10" t="inlineStr">
        <is>
          <t>Installer JSON doctor</t>
        </is>
      </c>
      <c r="D3" s="10" t="inlineStr">
        <is>
          <t>Executable</t>
        </is>
      </c>
      <c r="E3" s="10" t="inlineStr">
        <is>
          <t>As a Kurultai operator, I want installer json doctor so that the system behaves predictably and safely.</t>
        </is>
      </c>
      <c r="F3" s="10" t="inlineStr">
        <is>
          <t>Emit a machine-readable doctor report without changing local state.</t>
        </is>
      </c>
      <c r="G3" s="10" t="inlineStr">
        <is>
          <t>scripts/install_kurultai.py</t>
        </is>
      </c>
      <c r="H3" s="10" t="inlineStr">
        <is>
          <t>doctor --json; installer tests</t>
        </is>
      </c>
      <c r="I3" s="10" t="inlineStr">
        <is>
          <t>Pass</t>
        </is>
      </c>
      <c r="J3" s="10" t="inlineStr">
        <is>
          <t>No</t>
        </is>
      </c>
      <c r="K3" s="10" t="inlineStr"/>
    </row>
    <row r="4" outlineLevel="1" ht="52" customHeight="1">
      <c r="A4" s="10" t="inlineStr">
        <is>
          <t>F-0003</t>
        </is>
      </c>
      <c r="B4" s="10" t="inlineStr">
        <is>
          <t>Installer</t>
        </is>
      </c>
      <c r="C4" s="10" t="inlineStr">
        <is>
          <t>Personalized dry run</t>
        </is>
      </c>
      <c r="D4" s="10" t="inlineStr">
        <is>
          <t>Executable</t>
        </is>
      </c>
      <c r="E4" s="10" t="inlineStr">
        <is>
          <t>As a Kurultai operator, I want personalized dry run so that the system behaves predictably and safely.</t>
        </is>
      </c>
      <c r="F4" s="10" t="inlineStr">
        <is>
          <t>Render selected names, paths, reconciliation counts, and planned actions without writing files.</t>
        </is>
      </c>
      <c r="G4" s="10" t="inlineStr">
        <is>
          <t>scripts/install_kurultai.py</t>
        </is>
      </c>
      <c r="H4" s="10" t="inlineStr">
        <is>
          <t>test_dry_run_is_personalized_and_does_not_write</t>
        </is>
      </c>
      <c r="I4" s="10" t="inlineStr">
        <is>
          <t>Pass</t>
        </is>
      </c>
      <c r="J4" s="10" t="inlineStr">
        <is>
          <t>No</t>
        </is>
      </c>
      <c r="K4" s="10" t="inlineStr"/>
    </row>
    <row r="5" outlineLevel="1" ht="52" customHeight="1">
      <c r="A5" s="10" t="inlineStr">
        <is>
          <t>F-0004</t>
        </is>
      </c>
      <c r="B5" s="10" t="inlineStr">
        <is>
          <t>Installer</t>
        </is>
      </c>
      <c r="C5" s="10" t="inlineStr">
        <is>
          <t>Safe default mode</t>
        </is>
      </c>
      <c r="D5" s="10" t="inlineStr">
        <is>
          <t>Executable</t>
        </is>
      </c>
      <c r="E5" s="10" t="inlineStr">
        <is>
          <t>As a Kurultai operator, I want safe default mode so that the system behaves predictably and safely.</t>
        </is>
      </c>
      <c r="F5" s="10" t="inlineStr">
        <is>
          <t>Default to a non-writing dry run when no mutating mode is supplied.</t>
        </is>
      </c>
      <c r="G5" s="10" t="inlineStr">
        <is>
          <t>scripts/install_kurultai.py</t>
        </is>
      </c>
      <c r="H5" s="10" t="inlineStr">
        <is>
          <t>test_no_mode_defaults_to_non_writing_dry_run</t>
        </is>
      </c>
      <c r="I5" s="10" t="inlineStr">
        <is>
          <t>Pass</t>
        </is>
      </c>
      <c r="J5" s="10" t="inlineStr">
        <is>
          <t>No</t>
        </is>
      </c>
      <c r="K5" s="10" t="inlineStr"/>
    </row>
    <row r="6" outlineLevel="1" ht="52" customHeight="1">
      <c r="A6" s="10" t="inlineStr">
        <is>
          <t>F-0005</t>
        </is>
      </c>
      <c r="B6" s="10" t="inlineStr">
        <is>
          <t>Installer</t>
        </is>
      </c>
      <c r="C6" s="10" t="inlineStr">
        <is>
          <t>Apply scaffold</t>
        </is>
      </c>
      <c r="D6" s="10" t="inlineStr">
        <is>
          <t>Executable</t>
        </is>
      </c>
      <c r="E6" s="10" t="inlineStr">
        <is>
          <t>As a Kurultai operator, I want apply scaffold so that the system behaves predictably and safely.</t>
        </is>
      </c>
      <c r="F6" s="10" t="inlineStr">
        <is>
          <t>Create sanitized staging, Brain scaffolding, and receipts using explicit paths.</t>
        </is>
      </c>
      <c r="G6" s="10" t="inlineStr">
        <is>
          <t>scripts/install_kurultai.py</t>
        </is>
      </c>
      <c r="H6" s="10" t="inlineStr">
        <is>
          <t>test_apply_creates_brain_staging_receipts_and_personalized_next_steps</t>
        </is>
      </c>
      <c r="I6" s="10" t="inlineStr">
        <is>
          <t>Pass</t>
        </is>
      </c>
      <c r="J6" s="10" t="inlineStr">
        <is>
          <t>No</t>
        </is>
      </c>
      <c r="K6" s="10" t="inlineStr"/>
    </row>
    <row r="7" outlineLevel="1" ht="52" customHeight="1">
      <c r="A7" s="10" t="inlineStr">
        <is>
          <t>F-0006</t>
        </is>
      </c>
      <c r="B7" s="10" t="inlineStr">
        <is>
          <t>Installer</t>
        </is>
      </c>
      <c r="C7" s="10" t="inlineStr">
        <is>
          <t>Interactive installer</t>
        </is>
      </c>
      <c r="D7" s="10" t="inlineStr">
        <is>
          <t>Executable</t>
        </is>
      </c>
      <c r="E7" s="10" t="inlineStr">
        <is>
          <t>As a Kurultai operator, I want interactive installer so that the system behaves predictably and safely.</t>
        </is>
      </c>
      <c r="F7" s="10" t="inlineStr">
        <is>
          <t>Prompt only in a TTY and reject non-interactive use with actionable guidance.</t>
        </is>
      </c>
      <c r="G7" s="10" t="inlineStr">
        <is>
          <t>scripts/install_kurultai.py</t>
        </is>
      </c>
      <c r="H7" s="10" t="inlineStr">
        <is>
          <t>test_interactive_mode_requires_a_tty</t>
        </is>
      </c>
      <c r="I7" s="10" t="inlineStr">
        <is>
          <t>Pass</t>
        </is>
      </c>
      <c r="J7" s="10" t="inlineStr">
        <is>
          <t>No</t>
        </is>
      </c>
      <c r="K7" s="10" t="inlineStr"/>
    </row>
    <row r="8" outlineLevel="1" ht="52" customHeight="1">
      <c r="A8" s="10" t="inlineStr">
        <is>
          <t>F-0007</t>
        </is>
      </c>
      <c r="B8" s="10" t="inlineStr">
        <is>
          <t>Installer</t>
        </is>
      </c>
      <c r="C8" s="10" t="inlineStr">
        <is>
          <t>Write install plan</t>
        </is>
      </c>
      <c r="D8" s="10" t="inlineStr">
        <is>
          <t>Executable</t>
        </is>
      </c>
      <c r="E8" s="10" t="inlineStr">
        <is>
          <t>As a Kurultai operator, I want write install plan so that the system behaves predictably and safely.</t>
        </is>
      </c>
      <c r="F8" s="10" t="inlineStr">
        <is>
          <t>Create a plan receipt without touching the Brain or Hermes runtime.</t>
        </is>
      </c>
      <c r="G8" s="10" t="inlineStr">
        <is>
          <t>scripts/install_kurultai.py</t>
        </is>
      </c>
      <c r="H8" s="10" t="inlineStr">
        <is>
          <t>test_write_plan_creates_single_install_plan_without_touching_brain</t>
        </is>
      </c>
      <c r="I8" s="10" t="inlineStr">
        <is>
          <t>Pass</t>
        </is>
      </c>
      <c r="J8" s="10" t="inlineStr">
        <is>
          <t>No</t>
        </is>
      </c>
      <c r="K8" s="10" t="inlineStr"/>
    </row>
    <row r="9" outlineLevel="1" ht="52" customHeight="1">
      <c r="A9" s="10" t="inlineStr">
        <is>
          <t>F-0008</t>
        </is>
      </c>
      <c r="B9" s="10" t="inlineStr">
        <is>
          <t>Installer</t>
        </is>
      </c>
      <c r="C9" s="10" t="inlineStr">
        <is>
          <t>Resume installation</t>
        </is>
      </c>
      <c r="D9" s="10" t="inlineStr">
        <is>
          <t>Executable</t>
        </is>
      </c>
      <c r="E9" s="10" t="inlineStr">
        <is>
          <t>As a Kurultai operator, I want resume installation so that the system behaves predictably and safely.</t>
        </is>
      </c>
      <c r="F9" s="10" t="inlineStr">
        <is>
          <t>Report the latest receipt and plan separately and rerun doctor checks.</t>
        </is>
      </c>
      <c r="G9" s="10" t="inlineStr">
        <is>
          <t>scripts/install_kurultai.py</t>
        </is>
      </c>
      <c r="H9" s="10" t="inlineStr">
        <is>
          <t>test_resume_reports_latest_plan_and_receipt_in_human_and_json_modes</t>
        </is>
      </c>
      <c r="I9" s="10" t="inlineStr">
        <is>
          <t>Pass</t>
        </is>
      </c>
      <c r="J9" s="10" t="inlineStr">
        <is>
          <t>No</t>
        </is>
      </c>
      <c r="K9" s="10" t="inlineStr"/>
    </row>
    <row r="10" outlineLevel="1" ht="52" customHeight="1">
      <c r="A10" s="10" t="inlineStr">
        <is>
          <t>F-0009</t>
        </is>
      </c>
      <c r="B10" s="10" t="inlineStr">
        <is>
          <t>Installer</t>
        </is>
      </c>
      <c r="C10" s="10" t="inlineStr">
        <is>
          <t>Identity validation</t>
        </is>
      </c>
      <c r="D10" s="10" t="inlineStr">
        <is>
          <t>Executable</t>
        </is>
      </c>
      <c r="E10" s="10" t="inlineStr">
        <is>
          <t>As a Kurultai operator, I want identity validation so that the system behaves predictably and safely.</t>
        </is>
      </c>
      <c r="F10" s="10" t="inlineStr">
        <is>
          <t>Reject empty, newline-bearing, or unsafe profile identity inputs before writes.</t>
        </is>
      </c>
      <c r="G10" s="10" t="inlineStr">
        <is>
          <t>scripts/install_kurultai.py</t>
        </is>
      </c>
      <c r="H10" s="10" t="inlineStr">
        <is>
          <t>test_invalid_identity_inputs_fail_without_writing</t>
        </is>
      </c>
      <c r="I10" s="10" t="inlineStr">
        <is>
          <t>Pass</t>
        </is>
      </c>
      <c r="J10" s="10" t="inlineStr">
        <is>
          <t>No</t>
        </is>
      </c>
      <c r="K10" s="10" t="inlineStr"/>
    </row>
    <row r="11" outlineLevel="1" ht="52" customHeight="1">
      <c r="A11" s="10" t="inlineStr">
        <is>
          <t>F-0010</t>
        </is>
      </c>
      <c r="B11" s="10" t="inlineStr">
        <is>
          <t>Installer</t>
        </is>
      </c>
      <c r="C11" s="10" t="inlineStr">
        <is>
          <t>Cerberus display-name customization</t>
        </is>
      </c>
      <c r="D11" s="10" t="inlineStr">
        <is>
          <t>Executable</t>
        </is>
      </c>
      <c r="E11" s="10" t="inlineStr">
        <is>
          <t>As a Kurultai operator, I want cerberus display-name customization so that the system behaves predictably and safely.</t>
        </is>
      </c>
      <c r="F11" s="10" t="inlineStr">
        <is>
          <t>Apply selected chair, bot, operator, and system names while retaining a compatible internal profile ID.</t>
        </is>
      </c>
      <c r="G11" s="10" t="inlineStr">
        <is>
          <t>scripts/install_kurultai.py</t>
        </is>
      </c>
      <c r="H11" s="10" t="inlineStr">
        <is>
          <t>personalized dry run; identity tests</t>
        </is>
      </c>
      <c r="I11" s="10" t="inlineStr">
        <is>
          <t>Pass</t>
        </is>
      </c>
      <c r="J11" s="10" t="inlineStr">
        <is>
          <t>No</t>
        </is>
      </c>
      <c r="K11" s="10" t="inlineStr"/>
    </row>
    <row r="12" outlineLevel="1" ht="52" customHeight="1">
      <c r="A12" s="10" t="inlineStr">
        <is>
          <t>F-0011</t>
        </is>
      </c>
      <c r="B12" s="10" t="inlineStr">
        <is>
          <t>Installer</t>
        </is>
      </c>
      <c r="C12" s="10" t="inlineStr">
        <is>
          <t>Profile-derived secret variable</t>
        </is>
      </c>
      <c r="D12" s="10" t="inlineStr">
        <is>
          <t>Executable</t>
        </is>
      </c>
      <c r="E12" s="10" t="inlineStr">
        <is>
          <t>As a Kurultai operator, I want profile-derived secret variable so that the system behaves predictably and safely.</t>
        </is>
      </c>
      <c r="F12" s="10" t="inlineStr">
        <is>
          <t>Generate a safe Telegram secret variable name from the selected internal profile ID.</t>
        </is>
      </c>
      <c r="G12" s="10" t="inlineStr">
        <is>
          <t>scripts/install_kurultai.py</t>
        </is>
      </c>
      <c r="H12" s="10" t="inlineStr">
        <is>
          <t>test_custom_profile_id_generates_matching_secret_environment_name</t>
        </is>
      </c>
      <c r="I12" s="10" t="inlineStr">
        <is>
          <t>Pass</t>
        </is>
      </c>
      <c r="J12" s="10" t="inlineStr">
        <is>
          <t>No</t>
        </is>
      </c>
      <c r="K12" s="10" t="inlineStr"/>
    </row>
    <row r="13" outlineLevel="1" ht="52" customHeight="1">
      <c r="A13" s="10" t="inlineStr">
        <is>
          <t>F-0012</t>
        </is>
      </c>
      <c r="B13" s="10" t="inlineStr">
        <is>
          <t>Installer</t>
        </is>
      </c>
      <c r="C13" s="10" t="inlineStr">
        <is>
          <t>Brain scaffold creation</t>
        </is>
      </c>
      <c r="D13" s="10" t="inlineStr">
        <is>
          <t>Executable</t>
        </is>
      </c>
      <c r="E13" s="10" t="inlineStr">
        <is>
          <t>As a Kurultai operator, I want brain scaffold creation so that the system behaves predictably and safely.</t>
        </is>
      </c>
      <c r="F13" s="10" t="inlineStr">
        <is>
          <t>Create all required Brain files and directories, including top-level plans and log.md.</t>
        </is>
      </c>
      <c r="G13" s="10" t="inlineStr">
        <is>
          <t>scripts/install_kurultai.py</t>
        </is>
      </c>
      <c r="H13" s="10" t="inlineStr">
        <is>
          <t>installer apply tests</t>
        </is>
      </c>
      <c r="I13" s="10" t="inlineStr">
        <is>
          <t>Pass</t>
        </is>
      </c>
      <c r="J13" s="10" t="inlineStr">
        <is>
          <t>No</t>
        </is>
      </c>
      <c r="K13" s="10" t="inlineStr"/>
    </row>
    <row r="14" outlineLevel="1" ht="52" customHeight="1">
      <c r="A14" s="10" t="inlineStr">
        <is>
          <t>F-0013</t>
        </is>
      </c>
      <c r="B14" s="10" t="inlineStr">
        <is>
          <t>Installer</t>
        </is>
      </c>
      <c r="C14" s="10" t="inlineStr">
        <is>
          <t>Existing Brain preservation</t>
        </is>
      </c>
      <c r="D14" s="10" t="inlineStr">
        <is>
          <t>Executable</t>
        </is>
      </c>
      <c r="E14" s="10" t="inlineStr">
        <is>
          <t>As a Kurultai operator, I want existing brain preservation so that the system behaves predictably and safely.</t>
        </is>
      </c>
      <c r="F14" s="10" t="inlineStr">
        <is>
          <t>Never overwrite existing AGENTS.md, home.md, index.md, or log.md.</t>
        </is>
      </c>
      <c r="G14" s="10" t="inlineStr">
        <is>
          <t>scripts/install_kurultai.py</t>
        </is>
      </c>
      <c r="H14" s="10" t="inlineStr">
        <is>
          <t>test_apply_preserves_existing_brain_files_and_uses_unique_receipts</t>
        </is>
      </c>
      <c r="I14" s="10" t="inlineStr">
        <is>
          <t>Pass</t>
        </is>
      </c>
      <c r="J14" s="10" t="inlineStr">
        <is>
          <t>No</t>
        </is>
      </c>
      <c r="K14" s="10" t="inlineStr"/>
    </row>
    <row r="15" outlineLevel="1" ht="52" customHeight="1">
      <c r="A15" s="10" t="inlineStr">
        <is>
          <t>F-0014</t>
        </is>
      </c>
      <c r="B15" s="10" t="inlineStr">
        <is>
          <t>Installer</t>
        </is>
      </c>
      <c r="C15" s="10" t="inlineStr">
        <is>
          <t>Unique receipts and plans</t>
        </is>
      </c>
      <c r="D15" s="10" t="inlineStr">
        <is>
          <t>Executable</t>
        </is>
      </c>
      <c r="E15" s="10" t="inlineStr">
        <is>
          <t>As a Kurultai operator, I want unique receipts and plans so that the system behaves predictably and safely.</t>
        </is>
      </c>
      <c r="F15" s="10" t="inlineStr">
        <is>
          <t>Use collision-resistant names for rapid repeated runs.</t>
        </is>
      </c>
      <c r="G15" s="10" t="inlineStr">
        <is>
          <t>scripts/install_kurultai.py</t>
        </is>
      </c>
      <c r="H15" s="10" t="inlineStr">
        <is>
          <t>rapid repeated apply/write-plan tests</t>
        </is>
      </c>
      <c r="I15" s="10" t="inlineStr">
        <is>
          <t>Pass</t>
        </is>
      </c>
      <c r="J15" s="10" t="inlineStr">
        <is>
          <t>No</t>
        </is>
      </c>
      <c r="K15" s="10" t="inlineStr"/>
    </row>
    <row r="16" outlineLevel="1" ht="52" customHeight="1">
      <c r="A16" s="10" t="inlineStr">
        <is>
          <t>F-0015</t>
        </is>
      </c>
      <c r="B16" s="10" t="inlineStr">
        <is>
          <t>Installer</t>
        </is>
      </c>
      <c r="C16" s="10" t="inlineStr">
        <is>
          <t>Sanitized config staging</t>
        </is>
      </c>
      <c r="D16" s="10" t="inlineStr">
        <is>
          <t>Executable</t>
        </is>
      </c>
      <c r="E16" s="10" t="inlineStr">
        <is>
          <t>As a Kurultai operator, I want sanitized config staging so that the system behaves predictably and safely.</t>
        </is>
      </c>
      <c r="F16" s="10" t="inlineStr">
        <is>
          <t>Copy only public runtime contracts into staging and keep private state outside git.</t>
        </is>
      </c>
      <c r="G16" s="10" t="inlineStr">
        <is>
          <t>scripts/install_kurultai.py</t>
        </is>
      </c>
      <c r="H16" s="10" t="inlineStr">
        <is>
          <t>installer apply tests; public validator</t>
        </is>
      </c>
      <c r="I16" s="10" t="inlineStr">
        <is>
          <t>Pass</t>
        </is>
      </c>
      <c r="J16" s="10" t="inlineStr">
        <is>
          <t>No</t>
        </is>
      </c>
      <c r="K16" s="10" t="inlineStr"/>
    </row>
    <row r="17" outlineLevel="1" ht="52" customHeight="1">
      <c r="A17" s="10" t="inlineStr">
        <is>
          <t>F-0016</t>
        </is>
      </c>
      <c r="B17" s="10" t="inlineStr">
        <is>
          <t>Installer</t>
        </is>
      </c>
      <c r="C17" s="10" t="inlineStr">
        <is>
          <t>Cron reconciliation</t>
        </is>
      </c>
      <c r="D17" s="10" t="inlineStr">
        <is>
          <t>Executable</t>
        </is>
      </c>
      <c r="E17" s="10" t="inlineStr">
        <is>
          <t>As a Kurultai operator, I want cron reconciliation so that the system behaves predictably and safely.</t>
        </is>
      </c>
      <c r="F17" s="10" t="inlineStr">
        <is>
          <t>Identify missing scripts and refuse to create broken jobs.</t>
        </is>
      </c>
      <c r="G17" s="10" t="inlineStr">
        <is>
          <t>scripts/install_kurultai.py</t>
        </is>
      </c>
      <c r="H17" s="10" t="inlineStr">
        <is>
          <t>runtime contract cron loop</t>
        </is>
      </c>
      <c r="I17" s="10" t="inlineStr">
        <is>
          <t>Pass</t>
        </is>
      </c>
      <c r="J17" s="10" t="inlineStr">
        <is>
          <t>No</t>
        </is>
      </c>
      <c r="K17" s="10" t="inlineStr"/>
    </row>
    <row r="18" outlineLevel="1" ht="52" customHeight="1">
      <c r="A18" s="10" t="inlineStr">
        <is>
          <t>F-0017</t>
        </is>
      </c>
      <c r="B18" s="10" t="inlineStr">
        <is>
          <t>Installer</t>
        </is>
      </c>
      <c r="C18" s="10" t="inlineStr">
        <is>
          <t>Skill reconciliation</t>
        </is>
      </c>
      <c r="D18" s="10" t="inlineStr">
        <is>
          <t>Executable</t>
        </is>
      </c>
      <c r="E18" s="10" t="inlineStr">
        <is>
          <t>As a Kurultai operator, I want skill reconciliation so that the system behaves predictably and safely.</t>
        </is>
      </c>
      <c r="F18" s="10" t="inlineStr">
        <is>
          <t>List absent/private/external skills instead of silently claiming installation.</t>
        </is>
      </c>
      <c r="G18" s="10" t="inlineStr">
        <is>
          <t>scripts/install_kurultai.py</t>
        </is>
      </c>
      <c r="H18" s="10" t="inlineStr">
        <is>
          <t>runtime contract skill loop</t>
        </is>
      </c>
      <c r="I18" s="10" t="inlineStr">
        <is>
          <t>Pass</t>
        </is>
      </c>
      <c r="J18" s="10" t="inlineStr">
        <is>
          <t>No</t>
        </is>
      </c>
      <c r="K18" s="10" t="inlineStr"/>
    </row>
    <row r="19" outlineLevel="1" ht="52" customHeight="1">
      <c r="A19" s="10" t="inlineStr">
        <is>
          <t>F-0018</t>
        </is>
      </c>
      <c r="B19" s="10" t="inlineStr">
        <is>
          <t>Bootstrap</t>
        </is>
      </c>
      <c r="C19" s="10" t="inlineStr">
        <is>
          <t>Bootstrap dry run</t>
        </is>
      </c>
      <c r="D19" s="10" t="inlineStr">
        <is>
          <t>Executable</t>
        </is>
      </c>
      <c r="E19" s="10" t="inlineStr">
        <is>
          <t>As a Kurultai operator, I want bootstrap dry run so that the system behaves predictably and safely.</t>
        </is>
      </c>
      <c r="F19" s="10" t="inlineStr">
        <is>
          <t>Print staging actions without creating directories or files.</t>
        </is>
      </c>
      <c r="G19" s="10" t="inlineStr">
        <is>
          <t>scripts/bootstrap_kurultai_runtime.py</t>
        </is>
      </c>
      <c r="H19" s="10" t="inlineStr">
        <is>
          <t>test_bootstrap_dry_run_does_not_write</t>
        </is>
      </c>
      <c r="I19" s="10" t="inlineStr">
        <is>
          <t>Pass</t>
        </is>
      </c>
      <c r="J19" s="10" t="inlineStr">
        <is>
          <t>No</t>
        </is>
      </c>
      <c r="K19" s="10" t="inlineStr"/>
    </row>
    <row r="20" outlineLevel="1" ht="52" customHeight="1">
      <c r="A20" s="10" t="inlineStr">
        <is>
          <t>F-0019</t>
        </is>
      </c>
      <c r="B20" s="10" t="inlineStr">
        <is>
          <t>Bootstrap</t>
        </is>
      </c>
      <c r="C20" s="10" t="inlineStr">
        <is>
          <t>Bootstrap preservation</t>
        </is>
      </c>
      <c r="D20" s="10" t="inlineStr">
        <is>
          <t>Executable</t>
        </is>
      </c>
      <c r="E20" s="10" t="inlineStr">
        <is>
          <t>As a Kurultai operator, I want bootstrap preservation so that the system behaves predictably and safely.</t>
        </is>
      </c>
      <c r="F20" s="10" t="inlineStr">
        <is>
          <t>Seed missing Brain files while preserving existing operator content.</t>
        </is>
      </c>
      <c r="G20" s="10" t="inlineStr">
        <is>
          <t>scripts/bootstrap_kurultai_runtime.py</t>
        </is>
      </c>
      <c r="H20" s="10" t="inlineStr">
        <is>
          <t>test_bootstrap_preserves_existing_brain_files</t>
        </is>
      </c>
      <c r="I20" s="10" t="inlineStr">
        <is>
          <t>Pass</t>
        </is>
      </c>
      <c r="J20" s="10" t="inlineStr">
        <is>
          <t>No</t>
        </is>
      </c>
      <c r="K20" s="10" t="inlineStr"/>
    </row>
    <row r="21" outlineLevel="1" ht="52" customHeight="1">
      <c r="A21" s="10" t="inlineStr">
        <is>
          <t>F-0020</t>
        </is>
      </c>
      <c r="B21" s="10" t="inlineStr">
        <is>
          <t>Retrieval Eval</t>
        </is>
      </c>
      <c r="C21" s="10" t="inlineStr">
        <is>
          <t>Query scrubbing</t>
        </is>
      </c>
      <c r="D21" s="10" t="inlineStr">
        <is>
          <t>Executable</t>
        </is>
      </c>
      <c r="E21" s="10" t="inlineStr">
        <is>
          <t>As a Kurultai operator, I want query scrubbing so that the system behaves predictably and safely.</t>
        </is>
      </c>
      <c r="F21" s="10" t="inlineStr">
        <is>
          <t>Redact emails, phones, UUIDs, token assignments, paths, and excessive query text before persistence.</t>
        </is>
      </c>
      <c r="G21" s="10" t="inlineStr">
        <is>
          <t>kublai/retrieval_eval.py</t>
        </is>
      </c>
      <c r="H21" s="10" t="inlineStr">
        <is>
          <t>query scrub tests</t>
        </is>
      </c>
      <c r="I21" s="10" t="inlineStr">
        <is>
          <t>Pass</t>
        </is>
      </c>
      <c r="J21" s="10" t="inlineStr">
        <is>
          <t>No</t>
        </is>
      </c>
      <c r="K21" s="10" t="inlineStr"/>
    </row>
    <row r="22" outlineLevel="1" ht="52" customHeight="1">
      <c r="A22" s="10" t="inlineStr">
        <is>
          <t>F-0021</t>
        </is>
      </c>
      <c r="B22" s="10" t="inlineStr">
        <is>
          <t>Retrieval Eval</t>
        </is>
      </c>
      <c r="C22" s="10" t="inlineStr">
        <is>
          <t>Sanitized case capture</t>
        </is>
      </c>
      <c r="D22" s="10" t="inlineStr">
        <is>
          <t>Executable</t>
        </is>
      </c>
      <c r="E22" s="10" t="inlineStr">
        <is>
          <t>As a Kurultai operator, I want sanitized case capture so that the system behaves predictably and safely.</t>
        </is>
      </c>
      <c r="F22" s="10" t="inlineStr">
        <is>
          <t>Store hashes, redacted queries, ranks, path metadata, and expectations without body text or full scores.</t>
        </is>
      </c>
      <c r="G22" s="10" t="inlineStr">
        <is>
          <t>kublai/retrieval_eval.py</t>
        </is>
      </c>
      <c r="H22" s="10" t="inlineStr">
        <is>
          <t>capture_case tests</t>
        </is>
      </c>
      <c r="I22" s="10" t="inlineStr">
        <is>
          <t>Pass</t>
        </is>
      </c>
      <c r="J22" s="10" t="inlineStr">
        <is>
          <t>No</t>
        </is>
      </c>
      <c r="K22" s="10" t="inlineStr"/>
    </row>
    <row r="23" outlineLevel="1" ht="52" customHeight="1">
      <c r="A23" s="10" t="inlineStr">
        <is>
          <t>F-0022</t>
        </is>
      </c>
      <c r="B23" s="10" t="inlineStr">
        <is>
          <t>Retrieval Eval</t>
        </is>
      </c>
      <c r="C23" s="10" t="inlineStr">
        <is>
          <t>Typed fixture validation</t>
        </is>
      </c>
      <c r="D23" s="10" t="inlineStr">
        <is>
          <t>Executable</t>
        </is>
      </c>
      <c r="E23" s="10" t="inlineStr">
        <is>
          <t>As a Kurultai operator, I want typed fixture validation so that the system behaves predictably and safely.</t>
        </is>
      </c>
      <c r="F23" s="10" t="inlineStr">
        <is>
          <t>Reject incomplete, invalid, secret-shaped, or unsafe fixture fields.</t>
        </is>
      </c>
      <c r="G23" s="10" t="inlineStr">
        <is>
          <t>kublai/retrieval_eval.py</t>
        </is>
      </c>
      <c r="H23" s="10" t="inlineStr">
        <is>
          <t>validate_case tests</t>
        </is>
      </c>
      <c r="I23" s="10" t="inlineStr">
        <is>
          <t>Pass</t>
        </is>
      </c>
      <c r="J23" s="10" t="inlineStr">
        <is>
          <t>No</t>
        </is>
      </c>
      <c r="K23" s="10" t="inlineStr"/>
    </row>
    <row r="24" outlineLevel="1" ht="52" customHeight="1">
      <c r="A24" s="10" t="inlineStr">
        <is>
          <t>F-0023</t>
        </is>
      </c>
      <c r="B24" s="10" t="inlineStr">
        <is>
          <t>Retrieval Eval</t>
        </is>
      </c>
      <c r="C24" s="10" t="inlineStr">
        <is>
          <t>Line-aware NDJSON reading</t>
        </is>
      </c>
      <c r="D24" s="10" t="inlineStr">
        <is>
          <t>Executable</t>
        </is>
      </c>
      <c r="E24" s="10" t="inlineStr">
        <is>
          <t>As a Kurultai operator, I want line-aware ndjson reading so that the system behaves predictably and safely.</t>
        </is>
      </c>
      <c r="F24" s="10" t="inlineStr">
        <is>
          <t>Report malformed JSON with filename and line number instead of a traceback.</t>
        </is>
      </c>
      <c r="G24" s="10" t="inlineStr">
        <is>
          <t>kublai/retrieval_eval.py</t>
        </is>
      </c>
      <c r="H24" s="10" t="inlineStr">
        <is>
          <t>invalid NDJSON tests</t>
        </is>
      </c>
      <c r="I24" s="10" t="inlineStr">
        <is>
          <t>Pass</t>
        </is>
      </c>
      <c r="J24" s="10" t="inlineStr">
        <is>
          <t>No</t>
        </is>
      </c>
      <c r="K24" s="10" t="inlineStr"/>
    </row>
    <row r="25" outlineLevel="1" ht="52" customHeight="1">
      <c r="A25" s="10" t="inlineStr">
        <is>
          <t>F-0024</t>
        </is>
      </c>
      <c r="B25" s="10" t="inlineStr">
        <is>
          <t>Retrieval Eval</t>
        </is>
      </c>
      <c r="C25" s="10" t="inlineStr">
        <is>
          <t>Privacy-gated NDJSON writing</t>
        </is>
      </c>
      <c r="D25" s="10" t="inlineStr">
        <is>
          <t>Executable</t>
        </is>
      </c>
      <c r="E25" s="10" t="inlineStr">
        <is>
          <t>As a Kurultai operator, I want privacy-gated ndjson writing so that the system behaves predictably and safely.</t>
        </is>
      </c>
      <c r="F25" s="10" t="inlineStr">
        <is>
          <t>Prevent hard-private fixtures from being written under a repository path.</t>
        </is>
      </c>
      <c r="G25" s="10" t="inlineStr">
        <is>
          <t>kublai/retrieval_eval.py</t>
        </is>
      </c>
      <c r="H25" s="10" t="inlineStr">
        <is>
          <t>NDJSON privacy tests</t>
        </is>
      </c>
      <c r="I25" s="10" t="inlineStr">
        <is>
          <t>Pass</t>
        </is>
      </c>
      <c r="J25" s="10" t="inlineStr">
        <is>
          <t>No</t>
        </is>
      </c>
      <c r="K25" s="10" t="inlineStr"/>
    </row>
    <row r="26" outlineLevel="1" ht="52" customHeight="1">
      <c r="A26" s="10" t="inlineStr">
        <is>
          <t>F-0025</t>
        </is>
      </c>
      <c r="B26" s="10" t="inlineStr">
        <is>
          <t>Retrieval Eval</t>
        </is>
      </c>
      <c r="C26" s="10" t="inlineStr">
        <is>
          <t>Brain source classification</t>
        </is>
      </c>
      <c r="D26" s="10" t="inlineStr">
        <is>
          <t>Executable</t>
        </is>
      </c>
      <c r="E26" s="10" t="inlineStr">
        <is>
          <t>As a Kurultai operator, I want brain source classification so that the system behaves predictably and safely.</t>
        </is>
      </c>
      <c r="F26" s="10" t="inlineStr">
        <is>
          <t>Classify canonical, raw, private, cache, and unsafe paths across POSIX and Windows forms.</t>
        </is>
      </c>
      <c r="G26" s="10" t="inlineStr">
        <is>
          <t>kublai/retrieval_eval.py</t>
        </is>
      </c>
      <c r="H26" s="10" t="inlineStr">
        <is>
          <t>source classification tests</t>
        </is>
      </c>
      <c r="I26" s="10" t="inlineStr">
        <is>
          <t>Pass</t>
        </is>
      </c>
      <c r="J26" s="10" t="inlineStr">
        <is>
          <t>No</t>
        </is>
      </c>
      <c r="K26" s="10" t="inlineStr"/>
    </row>
    <row r="27" outlineLevel="1" ht="52" customHeight="1">
      <c r="A27" s="10" t="inlineStr">
        <is>
          <t>F-0026</t>
        </is>
      </c>
      <c r="B27" s="10" t="inlineStr">
        <is>
          <t>Retrieval Eval</t>
        </is>
      </c>
      <c r="C27" s="10" t="inlineStr">
        <is>
          <t>Source-policy report</t>
        </is>
      </c>
      <c r="D27" s="10" t="inlineStr">
        <is>
          <t>Executable</t>
        </is>
      </c>
      <c r="E27" s="10" t="inlineStr">
        <is>
          <t>As a Kurultai operator, I want source-policy report so that the system behaves predictably and safely.</t>
        </is>
      </c>
      <c r="F27" s="10" t="inlineStr">
        <is>
          <t>Count source tiers without exposing file content.</t>
        </is>
      </c>
      <c r="G27" s="10" t="inlineStr">
        <is>
          <t>kublai/retrieval_eval.py</t>
        </is>
      </c>
      <c r="H27" s="10" t="inlineStr">
        <is>
          <t>source_policy_report tests</t>
        </is>
      </c>
      <c r="I27" s="10" t="inlineStr">
        <is>
          <t>Pass</t>
        </is>
      </c>
      <c r="J27" s="10" t="inlineStr">
        <is>
          <t>No</t>
        </is>
      </c>
      <c r="K27" s="10" t="inlineStr"/>
    </row>
    <row r="28" outlineLevel="1" ht="52" customHeight="1">
      <c r="A28" s="10" t="inlineStr">
        <is>
          <t>F-0027</t>
        </is>
      </c>
      <c r="B28" s="10" t="inlineStr">
        <is>
          <t>Retrieval Eval</t>
        </is>
      </c>
      <c r="C28" s="10" t="inlineStr">
        <is>
          <t>Canonical local search</t>
        </is>
      </c>
      <c r="D28" s="10" t="inlineStr">
        <is>
          <t>Executable</t>
        </is>
      </c>
      <c r="E28" s="10" t="inlineStr">
        <is>
          <t>As a Kurultai operator, I want canonical local search so that the system behaves predictably and safely.</t>
        </is>
      </c>
      <c r="F28" s="10" t="inlineStr">
        <is>
          <t>Prefer canonical Markdown and exclude raw/private sources by default.</t>
        </is>
      </c>
      <c r="G28" s="10" t="inlineStr">
        <is>
          <t>kublai/retrieval_eval.py</t>
        </is>
      </c>
      <c r="H28" s="10" t="inlineStr">
        <is>
          <t>local markdown search canonical test</t>
        </is>
      </c>
      <c r="I28" s="10" t="inlineStr">
        <is>
          <t>Pass</t>
        </is>
      </c>
      <c r="J28" s="10" t="inlineStr">
        <is>
          <t>No</t>
        </is>
      </c>
      <c r="K28" s="10" t="inlineStr"/>
    </row>
    <row r="29" outlineLevel="1" ht="52" customHeight="1">
      <c r="A29" s="10" t="inlineStr">
        <is>
          <t>F-0028</t>
        </is>
      </c>
      <c r="B29" s="10" t="inlineStr">
        <is>
          <t>Retrieval Eval</t>
        </is>
      </c>
      <c r="C29" s="10" t="inlineStr">
        <is>
          <t>Forensic search opt-in</t>
        </is>
      </c>
      <c r="D29" s="10" t="inlineStr">
        <is>
          <t>Executable</t>
        </is>
      </c>
      <c r="E29" s="10" t="inlineStr">
        <is>
          <t>As a Kurultai operator, I want forensic search opt-in so that the system behaves predictably and safely.</t>
        </is>
      </c>
      <c r="F29" s="10" t="inlineStr">
        <is>
          <t>Include raw forensic sources only when explicitly requested.</t>
        </is>
      </c>
      <c r="G29" s="10" t="inlineStr">
        <is>
          <t>kublai/retrieval_eval.py</t>
        </is>
      </c>
      <c r="H29" s="10" t="inlineStr">
        <is>
          <t>forensic source opt-in test</t>
        </is>
      </c>
      <c r="I29" s="10" t="inlineStr">
        <is>
          <t>Pass</t>
        </is>
      </c>
      <c r="J29" s="10" t="inlineStr">
        <is>
          <t>No</t>
        </is>
      </c>
      <c r="K29" s="10" t="inlineStr"/>
    </row>
    <row r="30" outlineLevel="1" ht="52" customHeight="1">
      <c r="A30" s="10" t="inlineStr">
        <is>
          <t>F-0029</t>
        </is>
      </c>
      <c r="B30" s="10" t="inlineStr">
        <is>
          <t>Retrieval Eval</t>
        </is>
      </c>
      <c r="C30" s="10" t="inlineStr">
        <is>
          <t>Overlap stability metric</t>
        </is>
      </c>
      <c r="D30" s="10" t="inlineStr">
        <is>
          <t>Executable</t>
        </is>
      </c>
      <c r="E30" s="10" t="inlineStr">
        <is>
          <t>As a Kurultai operator, I want overlap stability metric so that the system behaves predictably and safely.</t>
        </is>
      </c>
      <c r="F30" s="10" t="inlineStr">
        <is>
          <t>Calculate bounded Jaccard-at-k overlap for baseline and replay results.</t>
        </is>
      </c>
      <c r="G30" s="10" t="inlineStr">
        <is>
          <t>kublai/retrieval_eval.py</t>
        </is>
      </c>
      <c r="H30" s="10" t="inlineStr">
        <is>
          <t>metric report tests</t>
        </is>
      </c>
      <c r="I30" s="10" t="inlineStr">
        <is>
          <t>Pass</t>
        </is>
      </c>
      <c r="J30" s="10" t="inlineStr">
        <is>
          <t>No</t>
        </is>
      </c>
      <c r="K30" s="10" t="inlineStr"/>
    </row>
    <row r="31" outlineLevel="1" ht="52" customHeight="1">
      <c r="A31" s="10" t="inlineStr">
        <is>
          <t>F-0030</t>
        </is>
      </c>
      <c r="B31" s="10" t="inlineStr">
        <is>
          <t>Retrieval Eval</t>
        </is>
      </c>
      <c r="C31" s="10" t="inlineStr">
        <is>
          <t>Latency and failure metrics</t>
        </is>
      </c>
      <c r="D31" s="10" t="inlineStr">
        <is>
          <t>Executable</t>
        </is>
      </c>
      <c r="E31" s="10" t="inlineStr">
        <is>
          <t>As a Kurultai operator, I want latency and failure metrics so that the system behaves predictably and safely.</t>
        </is>
      </c>
      <c r="F31" s="10" t="inlineStr">
        <is>
          <t>Report latency percentiles, expectation failures, and missing replay cases.</t>
        </is>
      </c>
      <c r="G31" s="10" t="inlineStr">
        <is>
          <t>kublai/retrieval_eval.py</t>
        </is>
      </c>
      <c r="H31" s="10" t="inlineStr">
        <is>
          <t>metric and missing-case tests</t>
        </is>
      </c>
      <c r="I31" s="10" t="inlineStr">
        <is>
          <t>Pass</t>
        </is>
      </c>
      <c r="J31" s="10" t="inlineStr">
        <is>
          <t>No</t>
        </is>
      </c>
      <c r="K31" s="10" t="inlineStr"/>
    </row>
    <row r="32" outlineLevel="1" ht="52" customHeight="1">
      <c r="A32" s="10" t="inlineStr">
        <is>
          <t>F-0031</t>
        </is>
      </c>
      <c r="B32" s="10" t="inlineStr">
        <is>
          <t>Retrieval Eval</t>
        </is>
      </c>
      <c r="C32" s="10" t="inlineStr">
        <is>
          <t>Fixture replay</t>
        </is>
      </c>
      <c r="D32" s="10" t="inlineStr">
        <is>
          <t>Executable</t>
        </is>
      </c>
      <c r="E32" s="10" t="inlineStr">
        <is>
          <t>As a Kurultai operator, I want fixture replay so that the system behaves predictably and safely.</t>
        </is>
      </c>
      <c r="F32" s="10" t="inlineStr">
        <is>
          <t>Replay redacted queries through an injected searcher and preserve case identity.</t>
        </is>
      </c>
      <c r="G32" s="10" t="inlineStr">
        <is>
          <t>kublai/retrieval_eval.py</t>
        </is>
      </c>
      <c r="H32" s="10" t="inlineStr">
        <is>
          <t>replay tests</t>
        </is>
      </c>
      <c r="I32" s="10" t="inlineStr">
        <is>
          <t>Pass</t>
        </is>
      </c>
      <c r="J32" s="10" t="inlineStr">
        <is>
          <t>No</t>
        </is>
      </c>
      <c r="K32" s="10" t="inlineStr"/>
    </row>
    <row r="33" outlineLevel="1" ht="52" customHeight="1">
      <c r="A33" s="10" t="inlineStr">
        <is>
          <t>F-0032</t>
        </is>
      </c>
      <c r="B33" s="10" t="inlineStr">
        <is>
          <t>Retrieval Eval</t>
        </is>
      </c>
      <c r="C33" s="10" t="inlineStr">
        <is>
          <t>Explain receipt</t>
        </is>
      </c>
      <c r="D33" s="10" t="inlineStr">
        <is>
          <t>Executable</t>
        </is>
      </c>
      <c r="E33" s="10" t="inlineStr">
        <is>
          <t>As a Kurultai operator, I want explain receipt so that the system behaves predictably and safely.</t>
        </is>
      </c>
      <c r="F33" s="10" t="inlineStr">
        <is>
          <t>Create a compact source-policy explanation for evaluation output.</t>
        </is>
      </c>
      <c r="G33" s="10" t="inlineStr">
        <is>
          <t>kublai/retrieval_eval.py</t>
        </is>
      </c>
      <c r="H33" s="10" t="inlineStr">
        <is>
          <t>explain receipt tests</t>
        </is>
      </c>
      <c r="I33" s="10" t="inlineStr">
        <is>
          <t>Pass</t>
        </is>
      </c>
      <c r="J33" s="10" t="inlineStr">
        <is>
          <t>No</t>
        </is>
      </c>
      <c r="K33" s="10" t="inlineStr"/>
    </row>
    <row r="34" outlineLevel="1" ht="52" customHeight="1">
      <c r="A34" s="10" t="inlineStr">
        <is>
          <t>F-0033</t>
        </is>
      </c>
      <c r="B34" s="10" t="inlineStr">
        <is>
          <t>Retrieval Eval</t>
        </is>
      </c>
      <c r="C34" s="10" t="inlineStr">
        <is>
          <t>Fixture manifest</t>
        </is>
      </c>
      <c r="D34" s="10" t="inlineStr">
        <is>
          <t>Executable</t>
        </is>
      </c>
      <c r="E34" s="10" t="inlineStr">
        <is>
          <t>As a Kurultai operator, I want fixture manifest so that the system behaves predictably and safely.</t>
        </is>
      </c>
      <c r="F34" s="10" t="inlineStr">
        <is>
          <t>Write fixture metadata without copying fixture contents.</t>
        </is>
      </c>
      <c r="G34" s="10" t="inlineStr">
        <is>
          <t>kublai/retrieval_eval.py</t>
        </is>
      </c>
      <c r="H34" s="10" t="inlineStr">
        <is>
          <t>manifest tests</t>
        </is>
      </c>
      <c r="I34" s="10" t="inlineStr">
        <is>
          <t>Pass</t>
        </is>
      </c>
      <c r="J34" s="10" t="inlineStr">
        <is>
          <t>No</t>
        </is>
      </c>
      <c r="K34" s="10" t="inlineStr"/>
    </row>
    <row r="35" outlineLevel="1" ht="52" customHeight="1">
      <c r="A35" s="10" t="inlineStr">
        <is>
          <t>F-0034</t>
        </is>
      </c>
      <c r="B35" s="10" t="inlineStr">
        <is>
          <t>Retrieval Eval</t>
        </is>
      </c>
      <c r="C35" s="10" t="inlineStr">
        <is>
          <t>Capture status CLI</t>
        </is>
      </c>
      <c r="D35" s="10" t="inlineStr">
        <is>
          <t>Executable</t>
        </is>
      </c>
      <c r="E35" s="10" t="inlineStr">
        <is>
          <t>As a Kurultai operator, I want capture status cli so that the system behaves predictably and safely.</t>
        </is>
      </c>
      <c r="F35" s="10" t="inlineStr">
        <is>
          <t>State that production capture is disabled by default.</t>
        </is>
      </c>
      <c r="G35" s="10" t="inlineStr">
        <is>
          <t>kublai/retrieval_eval.py</t>
        </is>
      </c>
      <c r="H35" s="10" t="inlineStr">
        <is>
          <t>CLI status test</t>
        </is>
      </c>
      <c r="I35" s="10" t="inlineStr">
        <is>
          <t>Pass</t>
        </is>
      </c>
      <c r="J35" s="10" t="inlineStr">
        <is>
          <t>No</t>
        </is>
      </c>
      <c r="K35" s="10" t="inlineStr"/>
    </row>
    <row r="36" outlineLevel="1" ht="52" customHeight="1">
      <c r="A36" s="10" t="inlineStr">
        <is>
          <t>F-0035</t>
        </is>
      </c>
      <c r="B36" s="10" t="inlineStr">
        <is>
          <t>Retrieval Eval</t>
        </is>
      </c>
      <c r="C36" s="10" t="inlineStr">
        <is>
          <t>Source-policy CLI</t>
        </is>
      </c>
      <c r="D36" s="10" t="inlineStr">
        <is>
          <t>Executable</t>
        </is>
      </c>
      <c r="E36" s="10" t="inlineStr">
        <is>
          <t>As a Kurultai operator, I want source-policy cli so that the system behaves predictably and safely.</t>
        </is>
      </c>
      <c r="F36" s="10" t="inlineStr">
        <is>
          <t>Inspect a Brain root and optionally write a sanitized report.</t>
        </is>
      </c>
      <c r="G36" s="10" t="inlineStr">
        <is>
          <t>kublai/retrieval_eval.py</t>
        </is>
      </c>
      <c r="H36" s="10" t="inlineStr">
        <is>
          <t>CLI source-policy tests</t>
        </is>
      </c>
      <c r="I36" s="10" t="inlineStr">
        <is>
          <t>Pass</t>
        </is>
      </c>
      <c r="J36" s="10" t="inlineStr">
        <is>
          <t>No</t>
        </is>
      </c>
      <c r="K36" s="10" t="inlineStr"/>
    </row>
    <row r="37" outlineLevel="1" ht="52" customHeight="1">
      <c r="A37" s="10" t="inlineStr">
        <is>
          <t>F-0036</t>
        </is>
      </c>
      <c r="B37" s="10" t="inlineStr">
        <is>
          <t>Retrieval Eval</t>
        </is>
      </c>
      <c r="C37" s="10" t="inlineStr">
        <is>
          <t>Validate CLI</t>
        </is>
      </c>
      <c r="D37" s="10" t="inlineStr">
        <is>
          <t>Executable</t>
        </is>
      </c>
      <c r="E37" s="10" t="inlineStr">
        <is>
          <t>As a Kurultai operator, I want validate cli so that the system behaves predictably and safely.</t>
        </is>
      </c>
      <c r="F37" s="10" t="inlineStr">
        <is>
          <t>Validate every fixture and return concise failures.</t>
        </is>
      </c>
      <c r="G37" s="10" t="inlineStr">
        <is>
          <t>kublai/retrieval_eval.py</t>
        </is>
      </c>
      <c r="H37" s="10" t="inlineStr">
        <is>
          <t>CLI validate and invalid fixture tests</t>
        </is>
      </c>
      <c r="I37" s="10" t="inlineStr">
        <is>
          <t>Pass</t>
        </is>
      </c>
      <c r="J37" s="10" t="inlineStr">
        <is>
          <t>No</t>
        </is>
      </c>
      <c r="K37" s="10" t="inlineStr"/>
    </row>
    <row r="38" outlineLevel="1" ht="52" customHeight="1">
      <c r="A38" s="10" t="inlineStr">
        <is>
          <t>F-0037</t>
        </is>
      </c>
      <c r="B38" s="10" t="inlineStr">
        <is>
          <t>Retrieval Eval</t>
        </is>
      </c>
      <c r="C38" s="10" t="inlineStr">
        <is>
          <t>Export CLI</t>
        </is>
      </c>
      <c r="D38" s="10" t="inlineStr">
        <is>
          <t>Executable</t>
        </is>
      </c>
      <c r="E38" s="10" t="inlineStr">
        <is>
          <t>As a Kurultai operator, I want export cli so that the system behaves predictably and safely.</t>
        </is>
      </c>
      <c r="F38" s="10" t="inlineStr">
        <is>
          <t>Scrub captured JSONL into public or explicitly opted-in hard-private fixtures with a manifest.</t>
        </is>
      </c>
      <c r="G38" s="10" t="inlineStr">
        <is>
          <t>kublai/retrieval_eval.py</t>
        </is>
      </c>
      <c r="H38" s="10" t="inlineStr">
        <is>
          <t>CLI export tests</t>
        </is>
      </c>
      <c r="I38" s="10" t="inlineStr">
        <is>
          <t>Pass</t>
        </is>
      </c>
      <c r="J38" s="10" t="inlineStr">
        <is>
          <t>No</t>
        </is>
      </c>
      <c r="K38" s="10" t="inlineStr"/>
    </row>
    <row r="39" outlineLevel="1" ht="52" customHeight="1">
      <c r="A39" s="10" t="inlineStr">
        <is>
          <t>F-0038</t>
        </is>
      </c>
      <c r="B39" s="10" t="inlineStr">
        <is>
          <t>Manifest Export</t>
        </is>
      </c>
      <c r="C39" s="10" t="inlineStr">
        <is>
          <t>Cron manifest export</t>
        </is>
      </c>
      <c r="D39" s="10" t="inlineStr">
        <is>
          <t>Executable</t>
        </is>
      </c>
      <c r="E39" s="10" t="inlineStr">
        <is>
          <t>As a Kurultai operator, I want cron manifest export so that the system behaves predictably and safely.</t>
        </is>
      </c>
      <c r="F39" s="10" t="inlineStr">
        <is>
          <t>Load runtime jobs, filter unsafe/private jobs, redact delivery targets, and emit a public schema.</t>
        </is>
      </c>
      <c r="G39" s="10" t="inlineStr">
        <is>
          <t>scripts/export_runtime_config_manifest.py</t>
        </is>
      </c>
      <c r="H39" s="10" t="inlineStr">
        <is>
          <t>test_cron_manifest_filter_uses_words_and_redacts_delivery</t>
        </is>
      </c>
      <c r="I39" s="10" t="inlineStr">
        <is>
          <t>Pass</t>
        </is>
      </c>
      <c r="J39" s="10" t="inlineStr">
        <is>
          <t>No</t>
        </is>
      </c>
      <c r="K39" s="10" t="inlineStr"/>
    </row>
    <row r="40" outlineLevel="1" ht="52" customHeight="1">
      <c r="A40" s="10" t="inlineStr">
        <is>
          <t>F-0039</t>
        </is>
      </c>
      <c r="B40" s="10" t="inlineStr">
        <is>
          <t>Manifest Export</t>
        </is>
      </c>
      <c r="C40" s="10" t="inlineStr">
        <is>
          <t>Skill manifest export</t>
        </is>
      </c>
      <c r="D40" s="10" t="inlineStr">
        <is>
          <t>Executable</t>
        </is>
      </c>
      <c r="E40" s="10" t="inlineStr">
        <is>
          <t>As a Kurultai operator, I want skill manifest export so that the system behaves predictably and safely.</t>
        </is>
      </c>
      <c r="F40" s="10" t="inlineStr">
        <is>
          <t>Export skill names, paths, and descriptions without private content.</t>
        </is>
      </c>
      <c r="G40" s="10" t="inlineStr">
        <is>
          <t>scripts/export_rebuild_manifests.py</t>
        </is>
      </c>
      <c r="H40" s="10" t="inlineStr">
        <is>
          <t>test_rebuild_manifest_export_is_metadata_only_and_excludes_private_brain_counts</t>
        </is>
      </c>
      <c r="I40" s="10" t="inlineStr">
        <is>
          <t>Pass</t>
        </is>
      </c>
      <c r="J40" s="10" t="inlineStr">
        <is>
          <t>No</t>
        </is>
      </c>
      <c r="K40" s="10" t="inlineStr"/>
    </row>
    <row r="41" outlineLevel="1" ht="52" customHeight="1">
      <c r="A41" s="10" t="inlineStr">
        <is>
          <t>F-0040</t>
        </is>
      </c>
      <c r="B41" s="10" t="inlineStr">
        <is>
          <t>Manifest Export</t>
        </is>
      </c>
      <c r="C41" s="10" t="inlineStr">
        <is>
          <t>Kanban schema export</t>
        </is>
      </c>
      <c r="D41" s="10" t="inlineStr">
        <is>
          <t>Executable</t>
        </is>
      </c>
      <c r="E41" s="10" t="inlineStr">
        <is>
          <t>As a Kurultai operator, I want kanban schema export so that the system behaves predictably and safely.</t>
        </is>
      </c>
      <c r="F41" s="10" t="inlineStr">
        <is>
          <t>Export SQLite schema without task bodies, comments, chat IDs, or run output.</t>
        </is>
      </c>
      <c r="G41" s="10" t="inlineStr">
        <is>
          <t>scripts/export_rebuild_manifests.py</t>
        </is>
      </c>
      <c r="H41" s="10" t="inlineStr">
        <is>
          <t>test_rebuild_manifest_export_is_metadata_only_and_excludes_private_brain_counts</t>
        </is>
      </c>
      <c r="I41" s="10" t="inlineStr">
        <is>
          <t>Pass</t>
        </is>
      </c>
      <c r="J41" s="10" t="inlineStr">
        <is>
          <t>No</t>
        </is>
      </c>
      <c r="K41" s="10" t="inlineStr"/>
    </row>
    <row r="42" outlineLevel="1" ht="52" customHeight="1">
      <c r="A42" s="10" t="inlineStr">
        <is>
          <t>F-0041</t>
        </is>
      </c>
      <c r="B42" s="10" t="inlineStr">
        <is>
          <t>Manifest Export</t>
        </is>
      </c>
      <c r="C42" s="10" t="inlineStr">
        <is>
          <t>Brain manifest export</t>
        </is>
      </c>
      <c r="D42" s="10" t="inlineStr">
        <is>
          <t>Executable</t>
        </is>
      </c>
      <c r="E42" s="10" t="inlineStr">
        <is>
          <t>As a Kurultai operator, I want brain manifest export so that the system behaves predictably and safely.</t>
        </is>
      </c>
      <c r="F42" s="10" t="inlineStr">
        <is>
          <t>Count public Markdown while recursively excluding private/cache trees.</t>
        </is>
      </c>
      <c r="G42" s="10" t="inlineStr">
        <is>
          <t>scripts/export_rebuild_manifests.py</t>
        </is>
      </c>
      <c r="H42" s="10" t="inlineStr">
        <is>
          <t>test_rebuild_manifest_export_is_metadata_only_and_excludes_private_brain_counts</t>
        </is>
      </c>
      <c r="I42" s="10" t="inlineStr">
        <is>
          <t>Pass</t>
        </is>
      </c>
      <c r="J42" s="10" t="inlineStr">
        <is>
          <t>No</t>
        </is>
      </c>
      <c r="K42" s="10" t="inlineStr"/>
    </row>
    <row r="43" outlineLevel="1" ht="52" customHeight="1">
      <c r="A43" s="10" t="inlineStr">
        <is>
          <t>F-0042</t>
        </is>
      </c>
      <c r="B43" s="10" t="inlineStr">
        <is>
          <t>Public Validation</t>
        </is>
      </c>
      <c r="C43" s="10" t="inlineStr">
        <is>
          <t>Required-file validation</t>
        </is>
      </c>
      <c r="D43" s="10" t="inlineStr">
        <is>
          <t>Executable</t>
        </is>
      </c>
      <c r="E43" s="10" t="inlineStr">
        <is>
          <t>As a Kurultai operator, I want required-file validation so that the system behaves predictably and safely.</t>
        </is>
      </c>
      <c r="F43" s="10" t="inlineStr">
        <is>
          <t>Fail when the public rebuild contract is incomplete.</t>
        </is>
      </c>
      <c r="G43" s="10" t="inlineStr">
        <is>
          <t>tests/validate_public_repo.py</t>
        </is>
      </c>
      <c r="H43" s="10" t="inlineStr">
        <is>
          <t>test_validator_reports_missing_required_files</t>
        </is>
      </c>
      <c r="I43" s="10" t="inlineStr">
        <is>
          <t>Pass</t>
        </is>
      </c>
      <c r="J43" s="10" t="inlineStr">
        <is>
          <t>No</t>
        </is>
      </c>
      <c r="K43" s="10" t="inlineStr"/>
    </row>
    <row r="44" outlineLevel="1" ht="52" customHeight="1">
      <c r="A44" s="10" t="inlineStr">
        <is>
          <t>F-0043</t>
        </is>
      </c>
      <c r="B44" s="10" t="inlineStr">
        <is>
          <t>Public Validation</t>
        </is>
      </c>
      <c r="C44" s="10" t="inlineStr">
        <is>
          <t>Secret-shape validation</t>
        </is>
      </c>
      <c r="D44" s="10" t="inlineStr">
        <is>
          <t>Executable</t>
        </is>
      </c>
      <c r="E44" s="10" t="inlineStr">
        <is>
          <t>As a Kurultai operator, I want secret-shape validation so that the system behaves predictably and safely.</t>
        </is>
      </c>
      <c r="F44" s="10" t="inlineStr">
        <is>
          <t>Reject credential-shaped values from tracked public files.</t>
        </is>
      </c>
      <c r="G44" s="10" t="inlineStr">
        <is>
          <t>tests/validate_public_repo.py</t>
        </is>
      </c>
      <c r="H44" s="10" t="inlineStr">
        <is>
          <t>test_validator_detects_secret_shaped_values</t>
        </is>
      </c>
      <c r="I44" s="10" t="inlineStr">
        <is>
          <t>Pass</t>
        </is>
      </c>
      <c r="J44" s="10" t="inlineStr">
        <is>
          <t>No</t>
        </is>
      </c>
      <c r="K44" s="10" t="inlineStr"/>
    </row>
    <row r="45" outlineLevel="1" ht="52" customHeight="1">
      <c r="A45" s="10" t="inlineStr">
        <is>
          <t>F-0044</t>
        </is>
      </c>
      <c r="B45" s="10" t="inlineStr">
        <is>
          <t>Public Validation</t>
        </is>
      </c>
      <c r="C45" s="10" t="inlineStr">
        <is>
          <t>Manifest schema validation</t>
        </is>
      </c>
      <c r="D45" s="10" t="inlineStr">
        <is>
          <t>Executable</t>
        </is>
      </c>
      <c r="E45" s="10" t="inlineStr">
        <is>
          <t>As a Kurultai operator, I want manifest schema validation so that the system behaves predictably and safely.</t>
        </is>
      </c>
      <c r="F45" s="10" t="inlineStr">
        <is>
          <t>Verify public JSON manifests parse and retain expected schemas.</t>
        </is>
      </c>
      <c r="G45" s="10" t="inlineStr">
        <is>
          <t>tests/validate_public_repo.py</t>
        </is>
      </c>
      <c r="H45" s="10" t="inlineStr">
        <is>
          <t>validate_public_repo.py; test_public_manifests_do_not_embed_private_runtime_values</t>
        </is>
      </c>
      <c r="I45" s="10" t="inlineStr">
        <is>
          <t>Pass</t>
        </is>
      </c>
      <c r="J45" s="10" t="inlineStr">
        <is>
          <t>No</t>
        </is>
      </c>
      <c r="K45" s="10" t="inlineStr"/>
    </row>
    <row r="46" outlineLevel="1" ht="52" customHeight="1">
      <c r="A46" s="10" t="inlineStr">
        <is>
          <t>F-0045</t>
        </is>
      </c>
      <c r="B46" s="10" t="inlineStr">
        <is>
          <t>Profiles</t>
        </is>
      </c>
      <c r="C46" s="10" t="inlineStr">
        <is>
          <t>kublai</t>
        </is>
      </c>
      <c r="D46" s="10" t="inlineStr">
        <is>
          <t>Runtime contract</t>
        </is>
      </c>
      <c r="E46" s="10" t="inlineStr">
        <is>
          <t>As a Kurultai operator, I want kublai so that the system behaves predictably and safely.</t>
        </is>
      </c>
      <c r="F46" s="10" t="inlineStr">
        <is>
          <t>Provide the documented specialist role using openai-codex/gpt-5.5 with shared authenticated runtime configuration.</t>
        </is>
      </c>
      <c r="G46" s="10" t="inlineStr">
        <is>
          <t>config/runtime-config/profiles.yaml; profiles/README.md</t>
        </is>
      </c>
      <c r="H46" s="10" t="inlineStr">
        <is>
          <t>test_profile_contract_matches_installer_roster_and_model_lanes; hermes profile list</t>
        </is>
      </c>
      <c r="I46" s="10" t="inlineStr">
        <is>
          <t>Pass</t>
        </is>
      </c>
      <c r="J46" s="10" t="inlineStr">
        <is>
          <t>No</t>
        </is>
      </c>
      <c r="K46" s="10" t="inlineStr"/>
    </row>
    <row r="47" outlineLevel="1" ht="52" customHeight="1">
      <c r="A47" s="10" t="inlineStr">
        <is>
          <t>F-0046</t>
        </is>
      </c>
      <c r="B47" s="10" t="inlineStr">
        <is>
          <t>Profiles</t>
        </is>
      </c>
      <c r="C47" s="10" t="inlineStr">
        <is>
          <t>batu</t>
        </is>
      </c>
      <c r="D47" s="10" t="inlineStr">
        <is>
          <t>Runtime contract</t>
        </is>
      </c>
      <c r="E47" s="10" t="inlineStr">
        <is>
          <t>As a Kurultai operator, I want batu so that the system behaves predictably and safely.</t>
        </is>
      </c>
      <c r="F47" s="10" t="inlineStr">
        <is>
          <t>Provide the documented specialist role using openai-codex/gpt-5.5 with shared authenticated runtime configuration.</t>
        </is>
      </c>
      <c r="G47" s="10" t="inlineStr">
        <is>
          <t>config/runtime-config/profiles.yaml; profiles/README.md</t>
        </is>
      </c>
      <c r="H47" s="10" t="inlineStr">
        <is>
          <t>test_profile_contract_matches_installer_roster_and_model_lanes; hermes profile list</t>
        </is>
      </c>
      <c r="I47" s="10" t="inlineStr">
        <is>
          <t>Pass</t>
        </is>
      </c>
      <c r="J47" s="10" t="inlineStr">
        <is>
          <t>No</t>
        </is>
      </c>
      <c r="K47" s="10" t="inlineStr"/>
    </row>
    <row r="48" outlineLevel="1" ht="52" customHeight="1">
      <c r="A48" s="10" t="inlineStr">
        <is>
          <t>F-0047</t>
        </is>
      </c>
      <c r="B48" s="10" t="inlineStr">
        <is>
          <t>Profiles</t>
        </is>
      </c>
      <c r="C48" s="10" t="inlineStr">
        <is>
          <t>temujin</t>
        </is>
      </c>
      <c r="D48" s="10" t="inlineStr">
        <is>
          <t>Runtime contract</t>
        </is>
      </c>
      <c r="E48" s="10" t="inlineStr">
        <is>
          <t>As a Kurultai operator, I want temujin so that the system behaves predictably and safely.</t>
        </is>
      </c>
      <c r="F48" s="10" t="inlineStr">
        <is>
          <t>Provide the documented specialist role using openai-codex/gpt-5.5 with shared authenticated runtime configuration.</t>
        </is>
      </c>
      <c r="G48" s="10" t="inlineStr">
        <is>
          <t>config/runtime-config/profiles.yaml; profiles/README.md</t>
        </is>
      </c>
      <c r="H48" s="10" t="inlineStr">
        <is>
          <t>test_profile_contract_matches_installer_roster_and_model_lanes; hermes profile list</t>
        </is>
      </c>
      <c r="I48" s="10" t="inlineStr">
        <is>
          <t>Pass</t>
        </is>
      </c>
      <c r="J48" s="10" t="inlineStr">
        <is>
          <t>No</t>
        </is>
      </c>
      <c r="K48" s="10" t="inlineStr"/>
    </row>
    <row r="49" outlineLevel="1" ht="52" customHeight="1">
      <c r="A49" s="10" t="inlineStr">
        <is>
          <t>F-0048</t>
        </is>
      </c>
      <c r="B49" s="10" t="inlineStr">
        <is>
          <t>Profiles</t>
        </is>
      </c>
      <c r="C49" s="10" t="inlineStr">
        <is>
          <t>coder</t>
        </is>
      </c>
      <c r="D49" s="10" t="inlineStr">
        <is>
          <t>Runtime contract</t>
        </is>
      </c>
      <c r="E49" s="10" t="inlineStr">
        <is>
          <t>As a Kurultai operator, I want coder so that the system behaves predictably and safely.</t>
        </is>
      </c>
      <c r="F49" s="10" t="inlineStr">
        <is>
          <t>Provide the documented specialist role using openai-codex/gpt-5.5 with shared authenticated runtime configuration.</t>
        </is>
      </c>
      <c r="G49" s="10" t="inlineStr">
        <is>
          <t>config/runtime-config/profiles.yaml; profiles/README.md</t>
        </is>
      </c>
      <c r="H49" s="10" t="inlineStr">
        <is>
          <t>test_profile_contract_matches_installer_roster_and_model_lanes; hermes profile list</t>
        </is>
      </c>
      <c r="I49" s="10" t="inlineStr">
        <is>
          <t>Pass</t>
        </is>
      </c>
      <c r="J49" s="10" t="inlineStr">
        <is>
          <t>No</t>
        </is>
      </c>
      <c r="K49" s="10" t="inlineStr"/>
    </row>
    <row r="50" outlineLevel="1" ht="52" customHeight="1">
      <c r="A50" s="10" t="inlineStr">
        <is>
          <t>F-0049</t>
        </is>
      </c>
      <c r="B50" s="10" t="inlineStr">
        <is>
          <t>Profiles</t>
        </is>
      </c>
      <c r="C50" s="10" t="inlineStr">
        <is>
          <t>codex</t>
        </is>
      </c>
      <c r="D50" s="10" t="inlineStr">
        <is>
          <t>Runtime contract</t>
        </is>
      </c>
      <c r="E50" s="10" t="inlineStr">
        <is>
          <t>As a Kurultai operator, I want codex so that the system behaves predictably and safely.</t>
        </is>
      </c>
      <c r="F50" s="10" t="inlineStr">
        <is>
          <t>Provide a non-routable compatibility profile for explicit Codex CLI workflows.</t>
        </is>
      </c>
      <c r="G50" s="10" t="inlineStr">
        <is>
          <t>config/runtime-config/profiles.yaml; profiles/README.md</t>
        </is>
      </c>
      <c r="H50" s="10" t="inlineStr">
        <is>
          <t>test_profile_contract_matches_installer_roster_and_model_lanes; hermes profile list</t>
        </is>
      </c>
      <c r="I50" s="10" t="inlineStr">
        <is>
          <t>Pass</t>
        </is>
      </c>
      <c r="J50" s="10" t="inlineStr">
        <is>
          <t>No</t>
        </is>
      </c>
      <c r="K50" s="10" t="inlineStr"/>
    </row>
    <row r="51" outlineLevel="1" ht="52" customHeight="1">
      <c r="A51" s="10" t="inlineStr">
        <is>
          <t>F-0050</t>
        </is>
      </c>
      <c r="B51" s="10" t="inlineStr">
        <is>
          <t>Profiles</t>
        </is>
      </c>
      <c r="C51" s="10" t="inlineStr">
        <is>
          <t>mongke</t>
        </is>
      </c>
      <c r="D51" s="10" t="inlineStr">
        <is>
          <t>Runtime contract</t>
        </is>
      </c>
      <c r="E51" s="10" t="inlineStr">
        <is>
          <t>As a Kurultai operator, I want mongke so that the system behaves predictably and safely.</t>
        </is>
      </c>
      <c r="F51" s="10" t="inlineStr">
        <is>
          <t>Provide the documented specialist role using openai-codex/gpt-5.5 with shared authenticated runtime configuration.</t>
        </is>
      </c>
      <c r="G51" s="10" t="inlineStr">
        <is>
          <t>config/runtime-config/profiles.yaml; profiles/README.md</t>
        </is>
      </c>
      <c r="H51" s="10" t="inlineStr">
        <is>
          <t>test_profile_contract_matches_installer_roster_and_model_lanes; hermes profile list</t>
        </is>
      </c>
      <c r="I51" s="10" t="inlineStr">
        <is>
          <t>Pass</t>
        </is>
      </c>
      <c r="J51" s="10" t="inlineStr">
        <is>
          <t>No</t>
        </is>
      </c>
      <c r="K51" s="10" t="inlineStr"/>
    </row>
    <row r="52" outlineLevel="1" ht="52" customHeight="1">
      <c r="A52" s="10" t="inlineStr">
        <is>
          <t>F-0051</t>
        </is>
      </c>
      <c r="B52" s="10" t="inlineStr">
        <is>
          <t>Profiles</t>
        </is>
      </c>
      <c r="C52" s="10" t="inlineStr">
        <is>
          <t>jochi</t>
        </is>
      </c>
      <c r="D52" s="10" t="inlineStr">
        <is>
          <t>Runtime contract</t>
        </is>
      </c>
      <c r="E52" s="10" t="inlineStr">
        <is>
          <t>As a Kurultai operator, I want jochi so that the system behaves predictably and safely.</t>
        </is>
      </c>
      <c r="F52" s="10" t="inlineStr">
        <is>
          <t>Provide the documented specialist role using openai-codex/gpt-5.5 with shared authenticated runtime configuration.</t>
        </is>
      </c>
      <c r="G52" s="10" t="inlineStr">
        <is>
          <t>config/runtime-config/profiles.yaml; profiles/README.md</t>
        </is>
      </c>
      <c r="H52" s="10" t="inlineStr">
        <is>
          <t>test_profile_contract_matches_installer_roster_and_model_lanes; hermes profile list</t>
        </is>
      </c>
      <c r="I52" s="10" t="inlineStr">
        <is>
          <t>Pass</t>
        </is>
      </c>
      <c r="J52" s="10" t="inlineStr">
        <is>
          <t>No</t>
        </is>
      </c>
      <c r="K52" s="10" t="inlineStr"/>
    </row>
    <row r="53" outlineLevel="1" ht="52" customHeight="1">
      <c r="A53" s="10" t="inlineStr">
        <is>
          <t>F-0052</t>
        </is>
      </c>
      <c r="B53" s="10" t="inlineStr">
        <is>
          <t>Profiles</t>
        </is>
      </c>
      <c r="C53" s="10" t="inlineStr">
        <is>
          <t>ogedei</t>
        </is>
      </c>
      <c r="D53" s="10" t="inlineStr">
        <is>
          <t>Runtime contract</t>
        </is>
      </c>
      <c r="E53" s="10" t="inlineStr">
        <is>
          <t>As a Kurultai operator, I want ogedei so that the system behaves predictably and safely.</t>
        </is>
      </c>
      <c r="F53" s="10" t="inlineStr">
        <is>
          <t>Provide the documented specialist role using openai-codex/gpt-5.5 with shared authenticated runtime configuration.</t>
        </is>
      </c>
      <c r="G53" s="10" t="inlineStr">
        <is>
          <t>config/runtime-config/profiles.yaml; profiles/README.md</t>
        </is>
      </c>
      <c r="H53" s="10" t="inlineStr">
        <is>
          <t>test_profile_contract_matches_installer_roster_and_model_lanes; hermes profile list</t>
        </is>
      </c>
      <c r="I53" s="10" t="inlineStr">
        <is>
          <t>Pass</t>
        </is>
      </c>
      <c r="J53" s="10" t="inlineStr">
        <is>
          <t>No</t>
        </is>
      </c>
      <c r="K53" s="10" t="inlineStr"/>
    </row>
    <row r="54" outlineLevel="1" ht="52" customHeight="1">
      <c r="A54" s="10" t="inlineStr">
        <is>
          <t>F-0053</t>
        </is>
      </c>
      <c r="B54" s="10" t="inlineStr">
        <is>
          <t>Profiles</t>
        </is>
      </c>
      <c r="C54" s="10" t="inlineStr">
        <is>
          <t>chagatai</t>
        </is>
      </c>
      <c r="D54" s="10" t="inlineStr">
        <is>
          <t>Runtime contract</t>
        </is>
      </c>
      <c r="E54" s="10" t="inlineStr">
        <is>
          <t>As a Kurultai operator, I want chagatai so that the system behaves predictably and safely.</t>
        </is>
      </c>
      <c r="F54" s="10" t="inlineStr">
        <is>
          <t>Provide the documented specialist role using openai-codex/gpt-5.5 with shared authenticated runtime configuration.</t>
        </is>
      </c>
      <c r="G54" s="10" t="inlineStr">
        <is>
          <t>config/runtime-config/profiles.yaml; profiles/README.md</t>
        </is>
      </c>
      <c r="H54" s="10" t="inlineStr">
        <is>
          <t>test_profile_contract_matches_installer_roster_and_model_lanes; hermes profile list</t>
        </is>
      </c>
      <c r="I54" s="10" t="inlineStr">
        <is>
          <t>Pass</t>
        </is>
      </c>
      <c r="J54" s="10" t="inlineStr">
        <is>
          <t>No</t>
        </is>
      </c>
      <c r="K54" s="10" t="inlineStr"/>
    </row>
    <row r="55" outlineLevel="1" ht="52" customHeight="1">
      <c r="A55" s="10" t="inlineStr">
        <is>
          <t>F-0054</t>
        </is>
      </c>
      <c r="B55" s="10" t="inlineStr">
        <is>
          <t>Profiles</t>
        </is>
      </c>
      <c r="C55" s="10" t="inlineStr">
        <is>
          <t>subc</t>
        </is>
      </c>
      <c r="D55" s="10" t="inlineStr">
        <is>
          <t>Runtime contract</t>
        </is>
      </c>
      <c r="E55" s="10" t="inlineStr">
        <is>
          <t>As a Kurultai operator, I want subc so that the system behaves predictably and safely.</t>
        </is>
      </c>
      <c r="F55" s="10" t="inlineStr">
        <is>
          <t>Provide the documented specialist role using openai-codex/gpt-5.5 with shared authenticated runtime configuration.</t>
        </is>
      </c>
      <c r="G55" s="10" t="inlineStr">
        <is>
          <t>config/runtime-config/profiles.yaml; profiles/README.md</t>
        </is>
      </c>
      <c r="H55" s="10" t="inlineStr">
        <is>
          <t>test_profile_contract_matches_installer_roster_and_model_lanes; hermes profile list</t>
        </is>
      </c>
      <c r="I55" s="10" t="inlineStr">
        <is>
          <t>Pass</t>
        </is>
      </c>
      <c r="J55" s="10" t="inlineStr">
        <is>
          <t>No</t>
        </is>
      </c>
      <c r="K55" s="10" t="inlineStr"/>
    </row>
    <row r="56" outlineLevel="1" ht="52" customHeight="1">
      <c r="A56" s="10" t="inlineStr">
        <is>
          <t>F-0055</t>
        </is>
      </c>
      <c r="B56" s="10" t="inlineStr">
        <is>
          <t>Profiles</t>
        </is>
      </c>
      <c r="C56" s="10" t="inlineStr">
        <is>
          <t>tolui</t>
        </is>
      </c>
      <c r="D56" s="10" t="inlineStr">
        <is>
          <t>Runtime contract</t>
        </is>
      </c>
      <c r="E56" s="10" t="inlineStr">
        <is>
          <t>As a Kurultai operator, I want tolui so that the system behaves predictably and safely.</t>
        </is>
      </c>
      <c r="F56" s="10" t="inlineStr">
        <is>
          <t>Provide a local lightweight lane at 65,536+ context; keep tool-required work disabled until explicitly verified.</t>
        </is>
      </c>
      <c r="G56" s="10" t="inlineStr">
        <is>
          <t>config/runtime-config/profiles.yaml; profiles/README.md</t>
        </is>
      </c>
      <c r="H56" s="10" t="inlineStr">
        <is>
          <t>test_profile_contract_matches_installer_roster_and_model_lanes; hermes profile list</t>
        </is>
      </c>
      <c r="I56" s="10" t="inlineStr">
        <is>
          <t>Pass</t>
        </is>
      </c>
      <c r="J56" s="10" t="inlineStr">
        <is>
          <t>No</t>
        </is>
      </c>
      <c r="K56" s="10" t="inlineStr"/>
    </row>
    <row r="57" outlineLevel="1" ht="52" customHeight="1">
      <c r="A57" s="10" t="inlineStr">
        <is>
          <t>F-0056</t>
        </is>
      </c>
      <c r="B57" s="10" t="inlineStr">
        <is>
          <t>Brain</t>
        </is>
      </c>
      <c r="C57" s="10" t="inlineStr">
        <is>
          <t>AGENTS.md</t>
        </is>
      </c>
      <c r="D57" s="10" t="inlineStr">
        <is>
          <t>Filesystem contract</t>
        </is>
      </c>
      <c r="E57" s="10" t="inlineStr">
        <is>
          <t>As a Kurultai operator, I want agents.md so that the system behaves predictably and safely.</t>
        </is>
      </c>
      <c r="F57" s="10" t="inlineStr">
        <is>
          <t>Seed Brain operating instructions without overwriting an existing file.</t>
        </is>
      </c>
      <c r="G57" s="10" t="inlineStr">
        <is>
          <t>config/runtime-config/brain.yaml; brain/; scripts/install_kurultai.py</t>
        </is>
      </c>
      <c r="H57" s="10" t="inlineStr">
        <is>
          <t>installer/bootstrap tests; qmd status/search</t>
        </is>
      </c>
      <c r="I57" s="10" t="inlineStr">
        <is>
          <t>Pass</t>
        </is>
      </c>
      <c r="J57" s="10" t="inlineStr">
        <is>
          <t>No</t>
        </is>
      </c>
      <c r="K57" s="10" t="inlineStr"/>
    </row>
    <row r="58" outlineLevel="1" ht="52" customHeight="1">
      <c r="A58" s="10" t="inlineStr">
        <is>
          <t>F-0057</t>
        </is>
      </c>
      <c r="B58" s="10" t="inlineStr">
        <is>
          <t>Brain</t>
        </is>
      </c>
      <c r="C58" s="10" t="inlineStr">
        <is>
          <t>home.md</t>
        </is>
      </c>
      <c r="D58" s="10" t="inlineStr">
        <is>
          <t>Filesystem contract</t>
        </is>
      </c>
      <c r="E58" s="10" t="inlineStr">
        <is>
          <t>As a Kurultai operator, I want home.md so that the system behaves predictably and safely.</t>
        </is>
      </c>
      <c r="F58" s="10" t="inlineStr">
        <is>
          <t>Provide a navigable Brain home page and preserve operator edits.</t>
        </is>
      </c>
      <c r="G58" s="10" t="inlineStr">
        <is>
          <t>config/runtime-config/brain.yaml; brain/; scripts/install_kurultai.py</t>
        </is>
      </c>
      <c r="H58" s="10" t="inlineStr">
        <is>
          <t>installer/bootstrap tests; qmd status/search</t>
        </is>
      </c>
      <c r="I58" s="10" t="inlineStr">
        <is>
          <t>Pass</t>
        </is>
      </c>
      <c r="J58" s="10" t="inlineStr">
        <is>
          <t>No</t>
        </is>
      </c>
      <c r="K58" s="10" t="inlineStr"/>
    </row>
    <row r="59" outlineLevel="1" ht="52" customHeight="1">
      <c r="A59" s="10" t="inlineStr">
        <is>
          <t>F-0058</t>
        </is>
      </c>
      <c r="B59" s="10" t="inlineStr">
        <is>
          <t>Brain</t>
        </is>
      </c>
      <c r="C59" s="10" t="inlineStr">
        <is>
          <t>index.md</t>
        </is>
      </c>
      <c r="D59" s="10" t="inlineStr">
        <is>
          <t>Filesystem contract</t>
        </is>
      </c>
      <c r="E59" s="10" t="inlineStr">
        <is>
          <t>As a Kurultai operator, I want index.md so that the system behaves predictably and safely.</t>
        </is>
      </c>
      <c r="F59" s="10" t="inlineStr">
        <is>
          <t>Provide a durable Brain index and preserve operator edits.</t>
        </is>
      </c>
      <c r="G59" s="10" t="inlineStr">
        <is>
          <t>config/runtime-config/brain.yaml; brain/; scripts/install_kurultai.py</t>
        </is>
      </c>
      <c r="H59" s="10" t="inlineStr">
        <is>
          <t>installer/bootstrap tests; qmd status/search</t>
        </is>
      </c>
      <c r="I59" s="10" t="inlineStr">
        <is>
          <t>Pass</t>
        </is>
      </c>
      <c r="J59" s="10" t="inlineStr">
        <is>
          <t>No</t>
        </is>
      </c>
      <c r="K59" s="10" t="inlineStr"/>
    </row>
    <row r="60" outlineLevel="1" ht="52" customHeight="1">
      <c r="A60" s="10" t="inlineStr">
        <is>
          <t>F-0059</t>
        </is>
      </c>
      <c r="B60" s="10" t="inlineStr">
        <is>
          <t>Brain</t>
        </is>
      </c>
      <c r="C60" s="10" t="inlineStr">
        <is>
          <t>log.md</t>
        </is>
      </c>
      <c r="D60" s="10" t="inlineStr">
        <is>
          <t>Filesystem contract</t>
        </is>
      </c>
      <c r="E60" s="10" t="inlineStr">
        <is>
          <t>As a Kurultai operator, I want log.md so that the system behaves predictably and safely.</t>
        </is>
      </c>
      <c r="F60" s="10" t="inlineStr">
        <is>
          <t>Provide the documented appendable Brain log.</t>
        </is>
      </c>
      <c r="G60" s="10" t="inlineStr">
        <is>
          <t>config/runtime-config/brain.yaml; brain/; scripts/install_kurultai.py</t>
        </is>
      </c>
      <c r="H60" s="10" t="inlineStr">
        <is>
          <t>installer/bootstrap tests; qmd status/search</t>
        </is>
      </c>
      <c r="I60" s="10" t="inlineStr">
        <is>
          <t>Pass</t>
        </is>
      </c>
      <c r="J60" s="10" t="inlineStr">
        <is>
          <t>No</t>
        </is>
      </c>
      <c r="K60" s="10" t="inlineStr"/>
    </row>
    <row r="61" outlineLevel="1" ht="52" customHeight="1">
      <c r="A61" s="10" t="inlineStr">
        <is>
          <t>F-0060</t>
        </is>
      </c>
      <c r="B61" s="10" t="inlineStr">
        <is>
          <t>Brain</t>
        </is>
      </c>
      <c r="C61" s="10" t="inlineStr">
        <is>
          <t>receipts/</t>
        </is>
      </c>
      <c r="D61" s="10" t="inlineStr">
        <is>
          <t>Filesystem contract</t>
        </is>
      </c>
      <c r="E61" s="10" t="inlineStr">
        <is>
          <t>As a Kurultai operator, I want receipts/ so that the system behaves predictably and safely.</t>
        </is>
      </c>
      <c r="F61" s="10" t="inlineStr">
        <is>
          <t>Store install and operational receipts.</t>
        </is>
      </c>
      <c r="G61" s="10" t="inlineStr">
        <is>
          <t>config/runtime-config/brain.yaml; brain/; scripts/install_kurultai.py</t>
        </is>
      </c>
      <c r="H61" s="10" t="inlineStr">
        <is>
          <t>installer/bootstrap tests; qmd status/search</t>
        </is>
      </c>
      <c r="I61" s="10" t="inlineStr">
        <is>
          <t>Pass</t>
        </is>
      </c>
      <c r="J61" s="10" t="inlineStr">
        <is>
          <t>No</t>
        </is>
      </c>
      <c r="K61" s="10" t="inlineStr"/>
    </row>
    <row r="62" outlineLevel="1" ht="52" customHeight="1">
      <c r="A62" s="10" t="inlineStr">
        <is>
          <t>F-0061</t>
        </is>
      </c>
      <c r="B62" s="10" t="inlineStr">
        <is>
          <t>Brain</t>
        </is>
      </c>
      <c r="C62" s="10" t="inlineStr">
        <is>
          <t>plans/</t>
        </is>
      </c>
      <c r="D62" s="10" t="inlineStr">
        <is>
          <t>Filesystem contract</t>
        </is>
      </c>
      <c r="E62" s="10" t="inlineStr">
        <is>
          <t>As a Kurultai operator, I want plans/ so that the system behaves predictably and safely.</t>
        </is>
      </c>
      <c r="F62" s="10" t="inlineStr">
        <is>
          <t>Provide the top-level plans compatibility directory.</t>
        </is>
      </c>
      <c r="G62" s="10" t="inlineStr">
        <is>
          <t>config/runtime-config/brain.yaml; brain/; scripts/install_kurultai.py</t>
        </is>
      </c>
      <c r="H62" s="10" t="inlineStr">
        <is>
          <t>installer/bootstrap tests; qmd status/search</t>
        </is>
      </c>
      <c r="I62" s="10" t="inlineStr">
        <is>
          <t>Pass</t>
        </is>
      </c>
      <c r="J62" s="10" t="inlineStr">
        <is>
          <t>No</t>
        </is>
      </c>
      <c r="K62" s="10" t="inlineStr"/>
    </row>
    <row r="63" outlineLevel="1" ht="52" customHeight="1">
      <c r="A63" s="10" t="inlineStr">
        <is>
          <t>F-0062</t>
        </is>
      </c>
      <c r="B63" s="10" t="inlineStr">
        <is>
          <t>Brain</t>
        </is>
      </c>
      <c r="C63" s="10" t="inlineStr">
        <is>
          <t>docs/plans/</t>
        </is>
      </c>
      <c r="D63" s="10" t="inlineStr">
        <is>
          <t>Filesystem contract</t>
        </is>
      </c>
      <c r="E63" s="10" t="inlineStr">
        <is>
          <t>As a Kurultai operator, I want docs/plans/ so that the system behaves predictably and safely.</t>
        </is>
      </c>
      <c r="F63" s="10" t="inlineStr">
        <is>
          <t>Provide the canonical nested plans directory.</t>
        </is>
      </c>
      <c r="G63" s="10" t="inlineStr">
        <is>
          <t>config/runtime-config/brain.yaml; brain/; scripts/install_kurultai.py</t>
        </is>
      </c>
      <c r="H63" s="10" t="inlineStr">
        <is>
          <t>installer/bootstrap tests; qmd status/search</t>
        </is>
      </c>
      <c r="I63" s="10" t="inlineStr">
        <is>
          <t>Pass</t>
        </is>
      </c>
      <c r="J63" s="10" t="inlineStr">
        <is>
          <t>No</t>
        </is>
      </c>
      <c r="K63" s="10" t="inlineStr"/>
    </row>
    <row r="64" outlineLevel="1" ht="52" customHeight="1">
      <c r="A64" s="10" t="inlineStr">
        <is>
          <t>F-0063</t>
        </is>
      </c>
      <c r="B64" s="10" t="inlineStr">
        <is>
          <t>Brain</t>
        </is>
      </c>
      <c r="C64" s="10" t="inlineStr">
        <is>
          <t>queue/</t>
        </is>
      </c>
      <c r="D64" s="10" t="inlineStr">
        <is>
          <t>Filesystem contract</t>
        </is>
      </c>
      <c r="E64" s="10" t="inlineStr">
        <is>
          <t>As a Kurultai operator, I want queue/ so that the system behaves predictably and safely.</t>
        </is>
      </c>
      <c r="F64" s="10" t="inlineStr">
        <is>
          <t>Provide a durable intake queue.</t>
        </is>
      </c>
      <c r="G64" s="10" t="inlineStr">
        <is>
          <t>config/runtime-config/brain.yaml; brain/; scripts/install_kurultai.py</t>
        </is>
      </c>
      <c r="H64" s="10" t="inlineStr">
        <is>
          <t>installer/bootstrap tests; qmd status/search</t>
        </is>
      </c>
      <c r="I64" s="10" t="inlineStr">
        <is>
          <t>Pass</t>
        </is>
      </c>
      <c r="J64" s="10" t="inlineStr">
        <is>
          <t>No</t>
        </is>
      </c>
      <c r="K64" s="10" t="inlineStr"/>
    </row>
    <row r="65" outlineLevel="1" ht="52" customHeight="1">
      <c r="A65" s="10" t="inlineStr">
        <is>
          <t>F-0064</t>
        </is>
      </c>
      <c r="B65" s="10" t="inlineStr">
        <is>
          <t>Brain</t>
        </is>
      </c>
      <c r="C65" s="10" t="inlineStr">
        <is>
          <t>generated/</t>
        </is>
      </c>
      <c r="D65" s="10" t="inlineStr">
        <is>
          <t>Filesystem contract</t>
        </is>
      </c>
      <c r="E65" s="10" t="inlineStr">
        <is>
          <t>As a Kurultai operator, I want generated/ so that the system behaves predictably and safely.</t>
        </is>
      </c>
      <c r="F65" s="10" t="inlineStr">
        <is>
          <t>Store generated public-safe artifacts.</t>
        </is>
      </c>
      <c r="G65" s="10" t="inlineStr">
        <is>
          <t>config/runtime-config/brain.yaml; brain/; scripts/install_kurultai.py</t>
        </is>
      </c>
      <c r="H65" s="10" t="inlineStr">
        <is>
          <t>installer/bootstrap tests; qmd status/search</t>
        </is>
      </c>
      <c r="I65" s="10" t="inlineStr">
        <is>
          <t>Pass</t>
        </is>
      </c>
      <c r="J65" s="10" t="inlineStr">
        <is>
          <t>No</t>
        </is>
      </c>
      <c r="K65" s="10" t="inlineStr"/>
    </row>
    <row r="66" outlineLevel="1" ht="52" customHeight="1">
      <c r="A66" s="10" t="inlineStr">
        <is>
          <t>F-0065</t>
        </is>
      </c>
      <c r="B66" s="10" t="inlineStr">
        <is>
          <t>Brain</t>
        </is>
      </c>
      <c r="C66" s="10" t="inlineStr">
        <is>
          <t>operations/</t>
        </is>
      </c>
      <c r="D66" s="10" t="inlineStr">
        <is>
          <t>Filesystem contract</t>
        </is>
      </c>
      <c r="E66" s="10" t="inlineStr">
        <is>
          <t>As a Kurultai operator, I want operations/ so that the system behaves predictably and safely.</t>
        </is>
      </c>
      <c r="F66" s="10" t="inlineStr">
        <is>
          <t>Store operational documentation and receipts.</t>
        </is>
      </c>
      <c r="G66" s="10" t="inlineStr">
        <is>
          <t>config/runtime-config/brain.yaml; brain/; scripts/install_kurultai.py</t>
        </is>
      </c>
      <c r="H66" s="10" t="inlineStr">
        <is>
          <t>installer/bootstrap tests; qmd status/search</t>
        </is>
      </c>
      <c r="I66" s="10" t="inlineStr">
        <is>
          <t>Pass</t>
        </is>
      </c>
      <c r="J66" s="10" t="inlineStr">
        <is>
          <t>No</t>
        </is>
      </c>
      <c r="K66" s="10" t="inlineStr"/>
    </row>
    <row r="67" outlineLevel="1" ht="52" customHeight="1">
      <c r="A67" s="10" t="inlineStr">
        <is>
          <t>F-0066</t>
        </is>
      </c>
      <c r="B67" s="10" t="inlineStr">
        <is>
          <t>Brain</t>
        </is>
      </c>
      <c r="C67" s="10" t="inlineStr">
        <is>
          <t>analyses/</t>
        </is>
      </c>
      <c r="D67" s="10" t="inlineStr">
        <is>
          <t>Filesystem contract</t>
        </is>
      </c>
      <c r="E67" s="10" t="inlineStr">
        <is>
          <t>As a Kurultai operator, I want analyses/ so that the system behaves predictably and safely.</t>
        </is>
      </c>
      <c r="F67" s="10" t="inlineStr">
        <is>
          <t>Store durable analysis artifacts.</t>
        </is>
      </c>
      <c r="G67" s="10" t="inlineStr">
        <is>
          <t>config/runtime-config/brain.yaml; brain/; scripts/install_kurultai.py</t>
        </is>
      </c>
      <c r="H67" s="10" t="inlineStr">
        <is>
          <t>installer/bootstrap tests; qmd status/search</t>
        </is>
      </c>
      <c r="I67" s="10" t="inlineStr">
        <is>
          <t>Pass</t>
        </is>
      </c>
      <c r="J67" s="10" t="inlineStr">
        <is>
          <t>No</t>
        </is>
      </c>
      <c r="K67" s="10" t="inlineStr"/>
    </row>
    <row r="68" outlineLevel="1" ht="52" customHeight="1">
      <c r="A68" s="10" t="inlineStr">
        <is>
          <t>F-0067</t>
        </is>
      </c>
      <c r="B68" s="10" t="inlineStr">
        <is>
          <t>Brain</t>
        </is>
      </c>
      <c r="C68" s="10" t="inlineStr">
        <is>
          <t>content/artifacts/</t>
        </is>
      </c>
      <c r="D68" s="10" t="inlineStr">
        <is>
          <t>Filesystem contract</t>
        </is>
      </c>
      <c r="E68" s="10" t="inlineStr">
        <is>
          <t>As a Kurultai operator, I want content/artifacts/ so that the system behaves predictably and safely.</t>
        </is>
      </c>
      <c r="F68" s="10" t="inlineStr">
        <is>
          <t>Store generated content artifacts.</t>
        </is>
      </c>
      <c r="G68" s="10" t="inlineStr">
        <is>
          <t>config/runtime-config/brain.yaml; brain/; scripts/install_kurultai.py</t>
        </is>
      </c>
      <c r="H68" s="10" t="inlineStr">
        <is>
          <t>installer/bootstrap tests; qmd status/search</t>
        </is>
      </c>
      <c r="I68" s="10" t="inlineStr">
        <is>
          <t>Pass</t>
        </is>
      </c>
      <c r="J68" s="10" t="inlineStr">
        <is>
          <t>No</t>
        </is>
      </c>
      <c r="K68" s="10" t="inlineStr"/>
    </row>
    <row r="69" outlineLevel="1" ht="52" customHeight="1">
      <c r="A69" s="10" t="inlineStr">
        <is>
          <t>F-0068</t>
        </is>
      </c>
      <c r="B69" s="10" t="inlineStr">
        <is>
          <t>Brain</t>
        </is>
      </c>
      <c r="C69" s="10" t="inlineStr">
        <is>
          <t>entities/</t>
        </is>
      </c>
      <c r="D69" s="10" t="inlineStr">
        <is>
          <t>Filesystem contract</t>
        </is>
      </c>
      <c r="E69" s="10" t="inlineStr">
        <is>
          <t>As a Kurultai operator, I want entities/ so that the system behaves predictably and safely.</t>
        </is>
      </c>
      <c r="F69" s="10" t="inlineStr">
        <is>
          <t>Store entity pages.</t>
        </is>
      </c>
      <c r="G69" s="10" t="inlineStr">
        <is>
          <t>config/runtime-config/brain.yaml; brain/; scripts/install_kurultai.py</t>
        </is>
      </c>
      <c r="H69" s="10" t="inlineStr">
        <is>
          <t>installer/bootstrap tests; qmd status/search</t>
        </is>
      </c>
      <c r="I69" s="10" t="inlineStr">
        <is>
          <t>Pass</t>
        </is>
      </c>
      <c r="J69" s="10" t="inlineStr">
        <is>
          <t>No</t>
        </is>
      </c>
      <c r="K69" s="10" t="inlineStr"/>
    </row>
    <row r="70" outlineLevel="1" ht="52" customHeight="1">
      <c r="A70" s="10" t="inlineStr">
        <is>
          <t>F-0069</t>
        </is>
      </c>
      <c r="B70" s="10" t="inlineStr">
        <is>
          <t>Brain</t>
        </is>
      </c>
      <c r="C70" s="10" t="inlineStr">
        <is>
          <t>projects/</t>
        </is>
      </c>
      <c r="D70" s="10" t="inlineStr">
        <is>
          <t>Filesystem contract</t>
        </is>
      </c>
      <c r="E70" s="10" t="inlineStr">
        <is>
          <t>As a Kurultai operator, I want projects/ so that the system behaves predictably and safely.</t>
        </is>
      </c>
      <c r="F70" s="10" t="inlineStr">
        <is>
          <t>Store project pages.</t>
        </is>
      </c>
      <c r="G70" s="10" t="inlineStr">
        <is>
          <t>config/runtime-config/brain.yaml; brain/; scripts/install_kurultai.py</t>
        </is>
      </c>
      <c r="H70" s="10" t="inlineStr">
        <is>
          <t>installer/bootstrap tests; qmd status/search</t>
        </is>
      </c>
      <c r="I70" s="10" t="inlineStr">
        <is>
          <t>Pass</t>
        </is>
      </c>
      <c r="J70" s="10" t="inlineStr">
        <is>
          <t>No</t>
        </is>
      </c>
      <c r="K70" s="10" t="inlineStr"/>
    </row>
    <row r="71" outlineLevel="1" ht="52" customHeight="1">
      <c r="A71" s="10" t="inlineStr">
        <is>
          <t>F-0070</t>
        </is>
      </c>
      <c r="B71" s="10" t="inlineStr">
        <is>
          <t>Brain</t>
        </is>
      </c>
      <c r="C71" s="10" t="inlineStr">
        <is>
          <t>infrastructure/</t>
        </is>
      </c>
      <c r="D71" s="10" t="inlineStr">
        <is>
          <t>Filesystem contract</t>
        </is>
      </c>
      <c r="E71" s="10" t="inlineStr">
        <is>
          <t>As a Kurultai operator, I want infrastructure/ so that the system behaves predictably and safely.</t>
        </is>
      </c>
      <c r="F71" s="10" t="inlineStr">
        <is>
          <t>Store infrastructure pages.</t>
        </is>
      </c>
      <c r="G71" s="10" t="inlineStr">
        <is>
          <t>config/runtime-config/brain.yaml; brain/; scripts/install_kurultai.py</t>
        </is>
      </c>
      <c r="H71" s="10" t="inlineStr">
        <is>
          <t>installer/bootstrap tests; qmd status/search</t>
        </is>
      </c>
      <c r="I71" s="10" t="inlineStr">
        <is>
          <t>Pass</t>
        </is>
      </c>
      <c r="J71" s="10" t="inlineStr">
        <is>
          <t>No</t>
        </is>
      </c>
      <c r="K71" s="10" t="inlineStr"/>
    </row>
    <row r="72" outlineLevel="1" ht="52" customHeight="1">
      <c r="A72" s="10" t="inlineStr">
        <is>
          <t>F-0071</t>
        </is>
      </c>
      <c r="B72" s="10" t="inlineStr">
        <is>
          <t>Brain</t>
        </is>
      </c>
      <c r="C72" s="10" t="inlineStr">
        <is>
          <t>concepts/</t>
        </is>
      </c>
      <c r="D72" s="10" t="inlineStr">
        <is>
          <t>Filesystem contract</t>
        </is>
      </c>
      <c r="E72" s="10" t="inlineStr">
        <is>
          <t>As a Kurultai operator, I want concepts/ so that the system behaves predictably and safely.</t>
        </is>
      </c>
      <c r="F72" s="10" t="inlineStr">
        <is>
          <t>Store concept pages.</t>
        </is>
      </c>
      <c r="G72" s="10" t="inlineStr">
        <is>
          <t>config/runtime-config/brain.yaml; brain/; scripts/install_kurultai.py</t>
        </is>
      </c>
      <c r="H72" s="10" t="inlineStr">
        <is>
          <t>installer/bootstrap tests; qmd status/search</t>
        </is>
      </c>
      <c r="I72" s="10" t="inlineStr">
        <is>
          <t>Pass</t>
        </is>
      </c>
      <c r="J72" s="10" t="inlineStr">
        <is>
          <t>No</t>
        </is>
      </c>
      <c r="K72" s="10" t="inlineStr"/>
    </row>
    <row r="73" outlineLevel="1" ht="52" customHeight="1">
      <c r="A73" s="10" t="inlineStr">
        <is>
          <t>F-0072</t>
        </is>
      </c>
      <c r="B73" s="10" t="inlineStr">
        <is>
          <t>Brain</t>
        </is>
      </c>
      <c r="C73" s="10" t="inlineStr">
        <is>
          <t>raw/assets/</t>
        </is>
      </c>
      <c r="D73" s="10" t="inlineStr">
        <is>
          <t>Filesystem contract</t>
        </is>
      </c>
      <c r="E73" s="10" t="inlineStr">
        <is>
          <t>As a Kurultai operator, I want raw/assets/ so that the system behaves predictably and safely.</t>
        </is>
      </c>
      <c r="F73" s="10" t="inlineStr">
        <is>
          <t>Store raw public-safe assets while private tiers remain excluded.</t>
        </is>
      </c>
      <c r="G73" s="10" t="inlineStr">
        <is>
          <t>config/runtime-config/brain.yaml; brain/; scripts/install_kurultai.py</t>
        </is>
      </c>
      <c r="H73" s="10" t="inlineStr">
        <is>
          <t>installer/bootstrap tests; qmd status/search</t>
        </is>
      </c>
      <c r="I73" s="10" t="inlineStr">
        <is>
          <t>Pass</t>
        </is>
      </c>
      <c r="J73" s="10" t="inlineStr">
        <is>
          <t>No</t>
        </is>
      </c>
      <c r="K73" s="10" t="inlineStr"/>
    </row>
    <row r="74" outlineLevel="1" ht="52" customHeight="1">
      <c r="A74" s="10" t="inlineStr">
        <is>
          <t>F-0073</t>
        </is>
      </c>
      <c r="B74" s="10" t="inlineStr">
        <is>
          <t>Brain</t>
        </is>
      </c>
      <c r="C74" s="10" t="inlineStr">
        <is>
          <t>QMD public collection</t>
        </is>
      </c>
      <c r="D74" s="10" t="inlineStr">
        <is>
          <t>Filesystem contract</t>
        </is>
      </c>
      <c r="E74" s="10" t="inlineStr">
        <is>
          <t>As a Kurultai operator, I want qmd public collection so that the system behaves predictably and safely.</t>
        </is>
      </c>
      <c r="F74" s="10" t="inlineStr">
        <is>
          <t>Register, update, embed, and search the local Brain collection.</t>
        </is>
      </c>
      <c r="G74" s="10" t="inlineStr">
        <is>
          <t>config/runtime-config/brain.yaml; brain/; scripts/install_kurultai.py</t>
        </is>
      </c>
      <c r="H74" s="10" t="inlineStr">
        <is>
          <t>installer/bootstrap tests; qmd status/search</t>
        </is>
      </c>
      <c r="I74" s="10" t="inlineStr">
        <is>
          <t>Pass</t>
        </is>
      </c>
      <c r="J74" s="10" t="inlineStr">
        <is>
          <t>No</t>
        </is>
      </c>
      <c r="K74" s="10" t="inlineStr"/>
    </row>
    <row r="75" outlineLevel="1" ht="52" customHeight="1">
      <c r="A75" s="10" t="inlineStr">
        <is>
          <t>F-0074</t>
        </is>
      </c>
      <c r="B75" s="10" t="inlineStr">
        <is>
          <t>Runtime</t>
        </is>
      </c>
      <c r="C75" s="10" t="inlineStr">
        <is>
          <t>Hermes frontier provider</t>
        </is>
      </c>
      <c r="D75" s="10" t="inlineStr">
        <is>
          <t>Runtime contract</t>
        </is>
      </c>
      <c r="E75" s="10" t="inlineStr">
        <is>
          <t>As a Kurultai operator, I want hermes frontier provider so that the system behaves predictably and safely.</t>
        </is>
      </c>
      <c r="F75" s="10" t="inlineStr">
        <is>
          <t>Use authenticated openai-codex/gpt-5.5 with 1M context and compression threshold 0.25.</t>
        </is>
      </c>
      <c r="G75" s="10" t="inlineStr">
        <is>
          <t>config/runtime-config/*.yaml; sanitized validation receipts</t>
        </is>
      </c>
      <c r="H75" s="10" t="inlineStr">
        <is>
          <t>runtime smoke tests and public validator</t>
        </is>
      </c>
      <c r="I75" s="10" t="inlineStr">
        <is>
          <t>Pass</t>
        </is>
      </c>
      <c r="J75" s="10" t="inlineStr">
        <is>
          <t>No</t>
        </is>
      </c>
      <c r="K75" s="10" t="inlineStr">
        <is>
          <t>OpenAI Codex authentication is active.</t>
        </is>
      </c>
    </row>
    <row r="76" outlineLevel="1" ht="52" customHeight="1">
      <c r="A76" s="10" t="inlineStr">
        <is>
          <t>F-0075</t>
        </is>
      </c>
      <c r="B76" s="10" t="inlineStr">
        <is>
          <t>Runtime</t>
        </is>
      </c>
      <c r="C76" s="10" t="inlineStr">
        <is>
          <t>Native Kanban</t>
        </is>
      </c>
      <c r="D76" s="10" t="inlineStr">
        <is>
          <t>Runtime contract</t>
        </is>
      </c>
      <c r="E76" s="10" t="inlineStr">
        <is>
          <t>As a Kurultai operator, I want native kanban so that the system behaves predictably and safely.</t>
        </is>
      </c>
      <c r="F76" s="10" t="inlineStr">
        <is>
          <t>Use Hermes SQLite-backed Kanban as the durable task source of truth.</t>
        </is>
      </c>
      <c r="G76" s="10" t="inlineStr">
        <is>
          <t>config/runtime-config/*.yaml; sanitized validation receipts</t>
        </is>
      </c>
      <c r="H76" s="10" t="inlineStr">
        <is>
          <t>runtime smoke tests and public validator</t>
        </is>
      </c>
      <c r="I76" s="10" t="inlineStr">
        <is>
          <t>Pass</t>
        </is>
      </c>
      <c r="J76" s="10" t="inlineStr">
        <is>
          <t>No</t>
        </is>
      </c>
      <c r="K76" s="10" t="inlineStr">
        <is>
          <t>Create/complete smoke passed.</t>
        </is>
      </c>
    </row>
    <row r="77" outlineLevel="1" ht="52" customHeight="1">
      <c r="A77" s="10" t="inlineStr">
        <is>
          <t>F-0076</t>
        </is>
      </c>
      <c r="B77" s="10" t="inlineStr">
        <is>
          <t>Runtime</t>
        </is>
      </c>
      <c r="C77" s="10" t="inlineStr">
        <is>
          <t>Public Brain index</t>
        </is>
      </c>
      <c r="D77" s="10" t="inlineStr">
        <is>
          <t>Runtime contract</t>
        </is>
      </c>
      <c r="E77" s="10" t="inlineStr">
        <is>
          <t>As a Kurultai operator, I want public brain index so that the system behaves predictably and safely.</t>
        </is>
      </c>
      <c r="F77" s="10" t="inlineStr">
        <is>
          <t>Use the QMD Brain collection and keep the index local.</t>
        </is>
      </c>
      <c r="G77" s="10" t="inlineStr">
        <is>
          <t>config/runtime-config/*.yaml; sanitized validation receipts</t>
        </is>
      </c>
      <c r="H77" s="10" t="inlineStr">
        <is>
          <t>runtime smoke tests and public validator</t>
        </is>
      </c>
      <c r="I77" s="10" t="inlineStr">
        <is>
          <t>Pass</t>
        </is>
      </c>
      <c r="J77" s="10" t="inlineStr">
        <is>
          <t>No</t>
        </is>
      </c>
      <c r="K77" s="10" t="inlineStr">
        <is>
          <t>QMD 2.5.3: 6 files, 8 vectors, search passed.</t>
        </is>
      </c>
    </row>
    <row r="78" outlineLevel="1" ht="52" customHeight="1">
      <c r="A78" s="10" t="inlineStr">
        <is>
          <t>F-0077</t>
        </is>
      </c>
      <c r="B78" s="10" t="inlineStr">
        <is>
          <t>Runtime</t>
        </is>
      </c>
      <c r="C78" s="10" t="inlineStr">
        <is>
          <t>Private Brain index</t>
        </is>
      </c>
      <c r="D78" s="10" t="inlineStr">
        <is>
          <t>Runtime contract</t>
        </is>
      </c>
      <c r="E78" s="10" t="inlineStr">
        <is>
          <t>As a Kurultai operator, I want private brain index so that the system behaves predictably and safely.</t>
        </is>
      </c>
      <c r="F78" s="10" t="inlineStr">
        <is>
          <t>Keep private indexes and private Brain material outside git.</t>
        </is>
      </c>
      <c r="G78" s="10" t="inlineStr">
        <is>
          <t>config/runtime-config/*.yaml; sanitized validation receipts</t>
        </is>
      </c>
      <c r="H78" s="10" t="inlineStr">
        <is>
          <t>runtime smoke tests and public validator</t>
        </is>
      </c>
      <c r="I78" s="10" t="inlineStr">
        <is>
          <t>Pass</t>
        </is>
      </c>
      <c r="J78" s="10" t="inlineStr">
        <is>
          <t>No</t>
        </is>
      </c>
      <c r="K78" s="10" t="inlineStr">
        <is>
          <t>Private paths remain excluded.</t>
        </is>
      </c>
    </row>
    <row r="79" outlineLevel="1" ht="52" customHeight="1">
      <c r="A79" s="10" t="inlineStr">
        <is>
          <t>F-0078</t>
        </is>
      </c>
      <c r="B79" s="10" t="inlineStr">
        <is>
          <t>Runtime</t>
        </is>
      </c>
      <c r="C79" s="10" t="inlineStr">
        <is>
          <t>Chair Telegram gateway</t>
        </is>
      </c>
      <c r="D79" s="10" t="inlineStr">
        <is>
          <t>Runtime contract</t>
        </is>
      </c>
      <c r="E79" s="10" t="inlineStr">
        <is>
          <t>As a Kurultai operator, I want chair telegram gateway so that the system behaves predictably and safely.</t>
        </is>
      </c>
      <c r="F79" s="10" t="inlineStr">
        <is>
          <t>Run the Cerberus/Kublai gateway with a separate credential, allowlist, and verified response.</t>
        </is>
      </c>
      <c r="G79" s="10" t="inlineStr">
        <is>
          <t>config/runtime-config/*.yaml; sanitized validation receipts</t>
        </is>
      </c>
      <c r="H79" s="10" t="inlineStr">
        <is>
          <t>runtime smoke tests and public validator</t>
        </is>
      </c>
      <c r="I79" s="10" t="inlineStr">
        <is>
          <t>Pass</t>
        </is>
      </c>
      <c r="J79" s="10" t="inlineStr">
        <is>
          <t>No</t>
        </is>
      </c>
      <c r="K79" s="10" t="inlineStr">
        <is>
          <t>Polling connected; outbound message and inbound /status responses passed.</t>
        </is>
      </c>
    </row>
    <row r="80" outlineLevel="1" ht="52" customHeight="1">
      <c r="A80" s="10" t="inlineStr">
        <is>
          <t>F-0079</t>
        </is>
      </c>
      <c r="B80" s="10" t="inlineStr">
        <is>
          <t>Runtime</t>
        </is>
      </c>
      <c r="C80" s="10" t="inlineStr">
        <is>
          <t>Ogedei Telegram gateway</t>
        </is>
      </c>
      <c r="D80" s="10" t="inlineStr">
        <is>
          <t>Runtime contract</t>
        </is>
      </c>
      <c r="E80" s="10" t="inlineStr">
        <is>
          <t>As a Kurultai operator, I want ogedei telegram gateway so that the system behaves predictably and safely.</t>
        </is>
      </c>
      <c r="F80" s="10" t="inlineStr">
        <is>
          <t>Provide a separate operations/intake gateway and separate credential.</t>
        </is>
      </c>
      <c r="G80" s="10" t="inlineStr">
        <is>
          <t>config/runtime-config/*.yaml; sanitized validation receipts</t>
        </is>
      </c>
      <c r="H80" s="10" t="inlineStr">
        <is>
          <t>runtime smoke tests and public validator</t>
        </is>
      </c>
      <c r="I80" s="10" t="inlineStr">
        <is>
          <t>Pending human token</t>
        </is>
      </c>
      <c r="J80" s="10" t="inlineStr">
        <is>
          <t>Yes</t>
        </is>
      </c>
      <c r="K80" s="10" t="inlineStr">
        <is>
          <t>No Ogedei credential was supplied.</t>
        </is>
      </c>
    </row>
    <row r="81" outlineLevel="1" ht="52" customHeight="1">
      <c r="A81" s="10" t="inlineStr">
        <is>
          <t>F-0080</t>
        </is>
      </c>
      <c r="B81" s="10" t="inlineStr">
        <is>
          <t>Runtime</t>
        </is>
      </c>
      <c r="C81" s="10" t="inlineStr">
        <is>
          <t>Tolui local model lane</t>
        </is>
      </c>
      <c r="D81" s="10" t="inlineStr">
        <is>
          <t>Runtime contract</t>
        </is>
      </c>
      <c r="E81" s="10" t="inlineStr">
        <is>
          <t>As a Kurultai operator, I want tolui local model lane so that the system behaves predictably and safely.</t>
        </is>
      </c>
      <c r="F81" s="10" t="inlineStr">
        <is>
          <t>Provide local lightweight inference with matching 65,536 context and no tool-required work until verified.</t>
        </is>
      </c>
      <c r="G81" s="10" t="inlineStr">
        <is>
          <t>config/runtime-config/*.yaml; sanitized validation receipts</t>
        </is>
      </c>
      <c r="H81" s="10" t="inlineStr">
        <is>
          <t>runtime smoke tests and public validator</t>
        </is>
      </c>
      <c r="I81" s="10" t="inlineStr">
        <is>
          <t>Pass</t>
        </is>
      </c>
      <c r="J81" s="10" t="inlineStr">
        <is>
          <t>No</t>
        </is>
      </c>
      <c r="K81" s="10" t="inlineStr">
        <is>
          <t>Direct and Hermes one-shot passed.</t>
        </is>
      </c>
    </row>
    <row r="82" outlineLevel="1" ht="52" customHeight="1">
      <c r="A82" s="10" t="inlineStr">
        <is>
          <t>F-0081</t>
        </is>
      </c>
      <c r="B82" s="10" t="inlineStr">
        <is>
          <t>Runtime</t>
        </is>
      </c>
      <c r="C82" s="10" t="inlineStr">
        <is>
          <t>Memory and session search</t>
        </is>
      </c>
      <c r="D82" s="10" t="inlineStr">
        <is>
          <t>Runtime contract</t>
        </is>
      </c>
      <c r="E82" s="10" t="inlineStr">
        <is>
          <t>As a Kurultai operator, I want memory and session search so that the system behaves predictably and safely.</t>
        </is>
      </c>
      <c r="F82" s="10" t="inlineStr">
        <is>
          <t>Provide durable built-in memory and session_search availability.</t>
        </is>
      </c>
      <c r="G82" s="10" t="inlineStr">
        <is>
          <t>config/runtime-config/*.yaml; sanitized validation receipts</t>
        </is>
      </c>
      <c r="H82" s="10" t="inlineStr">
        <is>
          <t>runtime smoke tests and public validator</t>
        </is>
      </c>
      <c r="I82" s="10" t="inlineStr">
        <is>
          <t>Pass</t>
        </is>
      </c>
      <c r="J82" s="10" t="inlineStr">
        <is>
          <t>No</t>
        </is>
      </c>
      <c r="K82" s="10" t="inlineStr">
        <is>
          <t>Hermes doctor reports both available.</t>
        </is>
      </c>
    </row>
    <row r="83" outlineLevel="1" ht="52" customHeight="1">
      <c r="A83" s="10" t="inlineStr">
        <is>
          <t>F-0082</t>
        </is>
      </c>
      <c r="B83" s="10" t="inlineStr">
        <is>
          <t>Runtime</t>
        </is>
      </c>
      <c r="C83" s="10" t="inlineStr">
        <is>
          <t>Secret boundary</t>
        </is>
      </c>
      <c r="D83" s="10" t="inlineStr">
        <is>
          <t>Runtime contract</t>
        </is>
      </c>
      <c r="E83" s="10" t="inlineStr">
        <is>
          <t>As a Kurultai operator, I want secret boundary so that the system behaves predictably and safely.</t>
        </is>
      </c>
      <c r="F83" s="10" t="inlineStr">
        <is>
          <t>Keep tokens, chat IDs, OAuth state, sessions, private Brain content, and databases out of git.</t>
        </is>
      </c>
      <c r="G83" s="10" t="inlineStr">
        <is>
          <t>config/runtime-config/*.yaml; sanitized validation receipts</t>
        </is>
      </c>
      <c r="H83" s="10" t="inlineStr">
        <is>
          <t>runtime smoke tests and public validator</t>
        </is>
      </c>
      <c r="I83" s="10" t="inlineStr">
        <is>
          <t>Pass</t>
        </is>
      </c>
      <c r="J83" s="10" t="inlineStr">
        <is>
          <t>No</t>
        </is>
      </c>
      <c r="K83" s="10" t="inlineStr">
        <is>
          <t>Public validator and token-shape scans pass.</t>
        </is>
      </c>
    </row>
    <row r="84" outlineLevel="1" ht="52" customHeight="1">
      <c r="A84" s="10" t="inlineStr">
        <is>
          <t>F-0083</t>
        </is>
      </c>
      <c r="B84" s="10" t="inlineStr">
        <is>
          <t>Cron</t>
        </is>
      </c>
      <c r="C84" s="10" t="inlineStr">
        <is>
          <t>job-001 brain-wiki-weekly-lint</t>
        </is>
      </c>
      <c r="D84" s="10" t="inlineStr">
        <is>
          <t>Manifest capability</t>
        </is>
      </c>
      <c r="E84" s="10" t="inlineStr">
        <is>
          <t>As a Kurultai operator, I want job-001 brain-wiki-weekly-lint so that the system behaves predictably and safely.</t>
        </is>
      </c>
      <c r="F84" s="10" t="inlineStr">
        <is>
          <t>Honor the declared cron 0 18 * * 0 schedule, delivery policy, and skill metadata; never create the job when its referenced script is absent.</t>
        </is>
      </c>
      <c r="G84" s="10" t="inlineStr">
        <is>
          <t>config/runtime-config/cron.manifest.json</t>
        </is>
      </c>
      <c r="H84" s="10" t="inlineStr">
        <is>
          <t>test_cron_manifest_has_valid_unique_jobs_and_reconciliation_for_every_entry</t>
        </is>
      </c>
      <c r="I84" s="10" t="inlineStr">
        <is>
          <t>Contract verified; not installed</t>
        </is>
      </c>
      <c r="J84" s="10" t="inlineStr">
        <is>
          <t>No</t>
        </is>
      </c>
      <c r="K84" s="10" t="inlineStr">
        <is>
          <t>Public contract is valid; runtime creation remains intentionally conservative.</t>
        </is>
      </c>
    </row>
    <row r="85" outlineLevel="1" ht="52" customHeight="1">
      <c r="A85" s="10" t="inlineStr">
        <is>
          <t>F-0084</t>
        </is>
      </c>
      <c r="B85" s="10" t="inlineStr">
        <is>
          <t>Cron</t>
        </is>
      </c>
      <c r="C85" s="10" t="inlineStr">
        <is>
          <t>job-002 hermes-quota-daily-check</t>
        </is>
      </c>
      <c r="D85" s="10" t="inlineStr">
        <is>
          <t>Manifest capability</t>
        </is>
      </c>
      <c r="E85" s="10" t="inlineStr">
        <is>
          <t>As a Kurultai operator, I want job-002 hermes-quota-daily-check so that the system behaves predictably and safely.</t>
        </is>
      </c>
      <c r="F85" s="10" t="inlineStr">
        <is>
          <t>Honor the declared cron 0 8 * * * schedule, delivery policy, and skill metadata; never create the job when its referenced script is absent.</t>
        </is>
      </c>
      <c r="G85" s="10" t="inlineStr">
        <is>
          <t>config/runtime-config/cron.manifest.json</t>
        </is>
      </c>
      <c r="H85" s="10" t="inlineStr">
        <is>
          <t>test_cron_manifest_has_valid_unique_jobs_and_reconciliation_for_every_entry</t>
        </is>
      </c>
      <c r="I85" s="10" t="inlineStr">
        <is>
          <t>Blocked: missing script</t>
        </is>
      </c>
      <c r="J85" s="10" t="inlineStr">
        <is>
          <t>Yes</t>
        </is>
      </c>
      <c r="K85" s="10" t="inlineStr">
        <is>
          <t>Missing public script: hermes_quota_daily_check.py</t>
        </is>
      </c>
    </row>
    <row r="86" outlineLevel="1" ht="52" customHeight="1">
      <c r="A86" s="10" t="inlineStr">
        <is>
          <t>F-0085</t>
        </is>
      </c>
      <c r="B86" s="10" t="inlineStr">
        <is>
          <t>Cron</t>
        </is>
      </c>
      <c r="C86" s="10" t="inlineStr">
        <is>
          <t>job-003 brain-sync-drain</t>
        </is>
      </c>
      <c r="D86" s="10" t="inlineStr">
        <is>
          <t>Manifest capability</t>
        </is>
      </c>
      <c r="E86" s="10" t="inlineStr">
        <is>
          <t>As a Kurultai operator, I want job-003 brain-sync-drain so that the system behaves predictably and safely.</t>
        </is>
      </c>
      <c r="F86" s="10" t="inlineStr">
        <is>
          <t>Honor the declared cron 0 */6 * * * schedule, delivery policy, and skill metadata; never create the job when its referenced script is absent.</t>
        </is>
      </c>
      <c r="G86" s="10" t="inlineStr">
        <is>
          <t>config/runtime-config/cron.manifest.json</t>
        </is>
      </c>
      <c r="H86" s="10" t="inlineStr">
        <is>
          <t>test_cron_manifest_has_valid_unique_jobs_and_reconciliation_for_every_entry</t>
        </is>
      </c>
      <c r="I86" s="10" t="inlineStr">
        <is>
          <t>Blocked: missing script</t>
        </is>
      </c>
      <c r="J86" s="10" t="inlineStr">
        <is>
          <t>Yes</t>
        </is>
      </c>
      <c r="K86" s="10" t="inlineStr">
        <is>
          <t>Missing public script: brain_sync_drain_silent.py</t>
        </is>
      </c>
    </row>
    <row r="87" outlineLevel="1" ht="52" customHeight="1">
      <c r="A87" s="10" t="inlineStr">
        <is>
          <t>F-0086</t>
        </is>
      </c>
      <c r="B87" s="10" t="inlineStr">
        <is>
          <t>Cron</t>
        </is>
      </c>
      <c r="C87" s="10" t="inlineStr">
        <is>
          <t>job-004 kurultai-daily-queue-action</t>
        </is>
      </c>
      <c r="D87" s="10" t="inlineStr">
        <is>
          <t>Manifest capability</t>
        </is>
      </c>
      <c r="E87" s="10" t="inlineStr">
        <is>
          <t>As a Kurultai operator, I want job-004 kurultai-daily-queue-action so that the system behaves predictably and safely.</t>
        </is>
      </c>
      <c r="F87" s="10" t="inlineStr">
        <is>
          <t>Honor the declared cron 0 9 * * * schedule, delivery policy, and skill metadata; never create the job when its referenced script is absent.</t>
        </is>
      </c>
      <c r="G87" s="10" t="inlineStr">
        <is>
          <t>config/runtime-config/cron.manifest.json</t>
        </is>
      </c>
      <c r="H87" s="10" t="inlineStr">
        <is>
          <t>test_cron_manifest_has_valid_unique_jobs_and_reconciliation_for_every_entry</t>
        </is>
      </c>
      <c r="I87" s="10" t="inlineStr">
        <is>
          <t>Blocked: missing script</t>
        </is>
      </c>
      <c r="J87" s="10" t="inlineStr">
        <is>
          <t>Yes</t>
        </is>
      </c>
      <c r="K87" s="10" t="inlineStr">
        <is>
          <t>Missing public script: kurultai_daily_queue_gate.py</t>
        </is>
      </c>
    </row>
    <row r="88" outlineLevel="1" ht="52" customHeight="1">
      <c r="A88" s="10" t="inlineStr">
        <is>
          <t>F-0087</t>
        </is>
      </c>
      <c r="B88" s="10" t="inlineStr">
        <is>
          <t>Cron</t>
        </is>
      </c>
      <c r="C88" s="10" t="inlineStr">
        <is>
          <t>job-005 brain-ingest-hourly</t>
        </is>
      </c>
      <c r="D88" s="10" t="inlineStr">
        <is>
          <t>Manifest capability</t>
        </is>
      </c>
      <c r="E88" s="10" t="inlineStr">
        <is>
          <t>As a Kurultai operator, I want job-005 brain-ingest-hourly so that the system behaves predictably and safely.</t>
        </is>
      </c>
      <c r="F88" s="10" t="inlineStr">
        <is>
          <t>Honor the declared interval 60 minutes schedule, delivery policy, and skill metadata; never create the job when its referenced script is absent.</t>
        </is>
      </c>
      <c r="G88" s="10" t="inlineStr">
        <is>
          <t>config/runtime-config/cron.manifest.json</t>
        </is>
      </c>
      <c r="H88" s="10" t="inlineStr">
        <is>
          <t>test_cron_manifest_has_valid_unique_jobs_and_reconciliation_for_every_entry</t>
        </is>
      </c>
      <c r="I88" s="10" t="inlineStr">
        <is>
          <t>Blocked: missing script</t>
        </is>
      </c>
      <c r="J88" s="10" t="inlineStr">
        <is>
          <t>Yes</t>
        </is>
      </c>
      <c r="K88" s="10" t="inlineStr">
        <is>
          <t>Missing public script: brain_ingest_hourly_gate.py</t>
        </is>
      </c>
    </row>
    <row r="89" outlineLevel="1" ht="52" customHeight="1">
      <c r="A89" s="10" t="inlineStr">
        <is>
          <t>F-0088</t>
        </is>
      </c>
      <c r="B89" s="10" t="inlineStr">
        <is>
          <t>Cron</t>
        </is>
      </c>
      <c r="C89" s="10" t="inlineStr">
        <is>
          <t>job-006 kurultai-terminal-task-notifier</t>
        </is>
      </c>
      <c r="D89" s="10" t="inlineStr">
        <is>
          <t>Manifest capability</t>
        </is>
      </c>
      <c r="E89" s="10" t="inlineStr">
        <is>
          <t>As a Kurultai operator, I want job-006 kurultai-terminal-task-notifier so that the system behaves predictably and safely.</t>
        </is>
      </c>
      <c r="F89" s="10" t="inlineStr">
        <is>
          <t>Honor the declared interval 30 minutes schedule, delivery policy, and skill metadata; never create the job when its referenced script is absent.</t>
        </is>
      </c>
      <c r="G89" s="10" t="inlineStr">
        <is>
          <t>config/runtime-config/cron.manifest.json</t>
        </is>
      </c>
      <c r="H89" s="10" t="inlineStr">
        <is>
          <t>test_cron_manifest_has_valid_unique_jobs_and_reconciliation_for_every_entry</t>
        </is>
      </c>
      <c r="I89" s="10" t="inlineStr">
        <is>
          <t>Blocked: missing script</t>
        </is>
      </c>
      <c r="J89" s="10" t="inlineStr">
        <is>
          <t>Yes</t>
        </is>
      </c>
      <c r="K89" s="10" t="inlineStr">
        <is>
          <t>Missing public script: kurultai_terminal_task_notifier.py</t>
        </is>
      </c>
    </row>
    <row r="90" outlineLevel="1" ht="52" customHeight="1">
      <c r="A90" s="10" t="inlineStr">
        <is>
          <t>F-0089</t>
        </is>
      </c>
      <c r="B90" s="10" t="inlineStr">
        <is>
          <t>Cron</t>
        </is>
      </c>
      <c r="C90" s="10" t="inlineStr">
        <is>
          <t>job-007 brain-graphify-weekly-refresh</t>
        </is>
      </c>
      <c r="D90" s="10" t="inlineStr">
        <is>
          <t>Manifest capability</t>
        </is>
      </c>
      <c r="E90" s="10" t="inlineStr">
        <is>
          <t>As a Kurultai operator, I want job-007 brain-graphify-weekly-refresh so that the system behaves predictably and safely.</t>
        </is>
      </c>
      <c r="F90" s="10" t="inlineStr">
        <is>
          <t>Honor the declared cron 30 8 * * 1 schedule, delivery policy, and skill metadata; never create the job when its referenced script is absent.</t>
        </is>
      </c>
      <c r="G90" s="10" t="inlineStr">
        <is>
          <t>config/runtime-config/cron.manifest.json</t>
        </is>
      </c>
      <c r="H90" s="10" t="inlineStr">
        <is>
          <t>test_cron_manifest_has_valid_unique_jobs_and_reconciliation_for_every_entry</t>
        </is>
      </c>
      <c r="I90" s="10" t="inlineStr">
        <is>
          <t>Contract verified; not installed</t>
        </is>
      </c>
      <c r="J90" s="10" t="inlineStr">
        <is>
          <t>No</t>
        </is>
      </c>
      <c r="K90" s="10" t="inlineStr">
        <is>
          <t>Public contract is valid; runtime creation remains intentionally conservative.</t>
        </is>
      </c>
    </row>
    <row r="91" outlineLevel="1" ht="52" customHeight="1">
      <c r="A91" s="10" t="inlineStr">
        <is>
          <t>F-0090</t>
        </is>
      </c>
      <c r="B91" s="10" t="inlineStr">
        <is>
          <t>Cron</t>
        </is>
      </c>
      <c r="C91" s="10" t="inlineStr">
        <is>
          <t>job-008 kurultai-signal-intake-every-60m</t>
        </is>
      </c>
      <c r="D91" s="10" t="inlineStr">
        <is>
          <t>Manifest capability</t>
        </is>
      </c>
      <c r="E91" s="10" t="inlineStr">
        <is>
          <t>As a Kurultai operator, I want job-008 kurultai-signal-intake-every-60m so that the system behaves predictably and safely.</t>
        </is>
      </c>
      <c r="F91" s="10" t="inlineStr">
        <is>
          <t>Honor the declared interval 60 minutes schedule, delivery policy, and skill metadata; never create the job when its referenced script is absent.</t>
        </is>
      </c>
      <c r="G91" s="10" t="inlineStr">
        <is>
          <t>config/runtime-config/cron.manifest.json</t>
        </is>
      </c>
      <c r="H91" s="10" t="inlineStr">
        <is>
          <t>test_cron_manifest_has_valid_unique_jobs_and_reconciliation_for_every_entry</t>
        </is>
      </c>
      <c r="I91" s="10" t="inlineStr">
        <is>
          <t>Blocked: missing script</t>
        </is>
      </c>
      <c r="J91" s="10" t="inlineStr">
        <is>
          <t>Yes</t>
        </is>
      </c>
      <c r="K91" s="10" t="inlineStr">
        <is>
          <t>Missing public script: kurultai_signal_intake.py</t>
        </is>
      </c>
    </row>
    <row r="92" outlineLevel="1" ht="52" customHeight="1">
      <c r="A92" s="10" t="inlineStr">
        <is>
          <t>F-0091</t>
        </is>
      </c>
      <c r="B92" s="10" t="inlineStr">
        <is>
          <t>Cron</t>
        </is>
      </c>
      <c r="C92" s="10" t="inlineStr">
        <is>
          <t>job-009 kurultai-signal-feedback-apply</t>
        </is>
      </c>
      <c r="D92" s="10" t="inlineStr">
        <is>
          <t>Manifest capability</t>
        </is>
      </c>
      <c r="E92" s="10" t="inlineStr">
        <is>
          <t>As a Kurultai operator, I want job-009 kurultai-signal-feedback-apply so that the system behaves predictably and safely.</t>
        </is>
      </c>
      <c r="F92" s="10" t="inlineStr">
        <is>
          <t>Honor the declared cron 0 20 * * * schedule, delivery policy, and skill metadata; never create the job when its referenced script is absent.</t>
        </is>
      </c>
      <c r="G92" s="10" t="inlineStr">
        <is>
          <t>config/runtime-config/cron.manifest.json</t>
        </is>
      </c>
      <c r="H92" s="10" t="inlineStr">
        <is>
          <t>test_cron_manifest_has_valid_unique_jobs_and_reconciliation_for_every_entry</t>
        </is>
      </c>
      <c r="I92" s="10" t="inlineStr">
        <is>
          <t>Blocked: missing script</t>
        </is>
      </c>
      <c r="J92" s="10" t="inlineStr">
        <is>
          <t>Yes</t>
        </is>
      </c>
      <c r="K92" s="10" t="inlineStr">
        <is>
          <t>Missing public script: kurultai_signal_feedback.py</t>
        </is>
      </c>
    </row>
    <row r="93" outlineLevel="1" ht="52" customHeight="1">
      <c r="A93" s="10" t="inlineStr">
        <is>
          <t>F-0092</t>
        </is>
      </c>
      <c r="B93" s="10" t="inlineStr">
        <is>
          <t>Cron</t>
        </is>
      </c>
      <c r="C93" s="10" t="inlineStr">
        <is>
          <t>job-010 kurultai-signal-weekly-metrics</t>
        </is>
      </c>
      <c r="D93" s="10" t="inlineStr">
        <is>
          <t>Manifest capability</t>
        </is>
      </c>
      <c r="E93" s="10" t="inlineStr">
        <is>
          <t>As a Kurultai operator, I want job-010 kurultai-signal-weekly-metrics so that the system behaves predictably and safely.</t>
        </is>
      </c>
      <c r="F93" s="10" t="inlineStr">
        <is>
          <t>Honor the declared cron 0 9 * * 1 schedule, delivery policy, and skill metadata; never create the job when its referenced script is absent.</t>
        </is>
      </c>
      <c r="G93" s="10" t="inlineStr">
        <is>
          <t>config/runtime-config/cron.manifest.json</t>
        </is>
      </c>
      <c r="H93" s="10" t="inlineStr">
        <is>
          <t>test_cron_manifest_has_valid_unique_jobs_and_reconciliation_for_every_entry</t>
        </is>
      </c>
      <c r="I93" s="10" t="inlineStr">
        <is>
          <t>Blocked: missing script</t>
        </is>
      </c>
      <c r="J93" s="10" t="inlineStr">
        <is>
          <t>Yes</t>
        </is>
      </c>
      <c r="K93" s="10" t="inlineStr">
        <is>
          <t>Missing public script: kurultai_signal_metrics.py</t>
        </is>
      </c>
    </row>
    <row r="94" outlineLevel="1" ht="52" customHeight="1">
      <c r="A94" s="10" t="inlineStr">
        <is>
          <t>F-0093</t>
        </is>
      </c>
      <c r="B94" s="10" t="inlineStr">
        <is>
          <t>Cron</t>
        </is>
      </c>
      <c r="C94" s="10" t="inlineStr">
        <is>
          <t>job-011 brain-optimizer-weekly</t>
        </is>
      </c>
      <c r="D94" s="10" t="inlineStr">
        <is>
          <t>Manifest capability</t>
        </is>
      </c>
      <c r="E94" s="10" t="inlineStr">
        <is>
          <t>As a Kurultai operator, I want job-011 brain-optimizer-weekly so that the system behaves predictably and safely.</t>
        </is>
      </c>
      <c r="F94" s="10" t="inlineStr">
        <is>
          <t>Honor the declared cron 0 9 * * 0 schedule, delivery policy, and skill metadata; never create the job when its referenced script is absent.</t>
        </is>
      </c>
      <c r="G94" s="10" t="inlineStr">
        <is>
          <t>config/runtime-config/cron.manifest.json</t>
        </is>
      </c>
      <c r="H94" s="10" t="inlineStr">
        <is>
          <t>test_cron_manifest_has_valid_unique_jobs_and_reconciliation_for_every_entry</t>
        </is>
      </c>
      <c r="I94" s="10" t="inlineStr">
        <is>
          <t>Contract verified; not installed</t>
        </is>
      </c>
      <c r="J94" s="10" t="inlineStr">
        <is>
          <t>No</t>
        </is>
      </c>
      <c r="K94" s="10" t="inlineStr">
        <is>
          <t>Public contract is valid; runtime creation remains intentionally conservative.</t>
        </is>
      </c>
    </row>
    <row r="95" outlineLevel="1" ht="52" customHeight="1">
      <c r="A95" s="10" t="inlineStr">
        <is>
          <t>F-0094</t>
        </is>
      </c>
      <c r="B95" s="10" t="inlineStr">
        <is>
          <t>Cron</t>
        </is>
      </c>
      <c r="C95" s="10" t="inlineStr">
        <is>
          <t>job-012 kurultai-research-hourly-summary</t>
        </is>
      </c>
      <c r="D95" s="10" t="inlineStr">
        <is>
          <t>Manifest capability</t>
        </is>
      </c>
      <c r="E95" s="10" t="inlineStr">
        <is>
          <t>As a Kurultai operator, I want job-012 kurultai-research-hourly-summary so that the system behaves predictably and safely.</t>
        </is>
      </c>
      <c r="F95" s="10" t="inlineStr">
        <is>
          <t>Honor the declared interval 60 minutes schedule, delivery policy, and skill metadata; never create the job when its referenced script is absent.</t>
        </is>
      </c>
      <c r="G95" s="10" t="inlineStr">
        <is>
          <t>config/runtime-config/cron.manifest.json</t>
        </is>
      </c>
      <c r="H95" s="10" t="inlineStr">
        <is>
          <t>test_cron_manifest_has_valid_unique_jobs_and_reconciliation_for_every_entry</t>
        </is>
      </c>
      <c r="I95" s="10" t="inlineStr">
        <is>
          <t>Blocked: missing script</t>
        </is>
      </c>
      <c r="J95" s="10" t="inlineStr">
        <is>
          <t>Yes</t>
        </is>
      </c>
      <c r="K95" s="10" t="inlineStr">
        <is>
          <t>Missing public script: kurultai_research_hourly_urgent_silent.py</t>
        </is>
      </c>
    </row>
    <row r="96" outlineLevel="1" ht="52" customHeight="1">
      <c r="A96" s="10" t="inlineStr">
        <is>
          <t>F-0095</t>
        </is>
      </c>
      <c r="B96" s="10" t="inlineStr">
        <is>
          <t>Cron</t>
        </is>
      </c>
      <c r="C96" s="10" t="inlineStr">
        <is>
          <t>job-013 hermes-soul-operating-contract-monthly-audit</t>
        </is>
      </c>
      <c r="D96" s="10" t="inlineStr">
        <is>
          <t>Manifest capability</t>
        </is>
      </c>
      <c r="E96" s="10" t="inlineStr">
        <is>
          <t>As a Kurultai operator, I want job-013 hermes-soul-operating-contract-monthly-audit so that the system behaves predictably and safely.</t>
        </is>
      </c>
      <c r="F96" s="10" t="inlineStr">
        <is>
          <t>Honor the declared cron 0 10 1 * * schedule, delivery policy, and skill metadata; never create the job when its referenced script is absent.</t>
        </is>
      </c>
      <c r="G96" s="10" t="inlineStr">
        <is>
          <t>config/runtime-config/cron.manifest.json</t>
        </is>
      </c>
      <c r="H96" s="10" t="inlineStr">
        <is>
          <t>test_cron_manifest_has_valid_unique_jobs_and_reconciliation_for_every_entry</t>
        </is>
      </c>
      <c r="I96" s="10" t="inlineStr">
        <is>
          <t>Contract verified; not installed</t>
        </is>
      </c>
      <c r="J96" s="10" t="inlineStr">
        <is>
          <t>No</t>
        </is>
      </c>
      <c r="K96" s="10" t="inlineStr">
        <is>
          <t>Public contract is valid; runtime creation remains intentionally conservative.</t>
        </is>
      </c>
    </row>
    <row r="97" outlineLevel="1" ht="52" customHeight="1">
      <c r="A97" s="10" t="inlineStr">
        <is>
          <t>F-0096</t>
        </is>
      </c>
      <c r="B97" s="10" t="inlineStr">
        <is>
          <t>Cron</t>
        </is>
      </c>
      <c r="C97" s="10" t="inlineStr">
        <is>
          <t>job-014 brain-content-daily-brief</t>
        </is>
      </c>
      <c r="D97" s="10" t="inlineStr">
        <is>
          <t>Manifest capability</t>
        </is>
      </c>
      <c r="E97" s="10" t="inlineStr">
        <is>
          <t>As a Kurultai operator, I want job-014 brain-content-daily-brief so that the system behaves predictably and safely.</t>
        </is>
      </c>
      <c r="F97" s="10" t="inlineStr">
        <is>
          <t>Honor the declared cron 0 6 * * * schedule, delivery policy, and skill metadata; never create the job when its referenced script is absent.</t>
        </is>
      </c>
      <c r="G97" s="10" t="inlineStr">
        <is>
          <t>config/runtime-config/cron.manifest.json</t>
        </is>
      </c>
      <c r="H97" s="10" t="inlineStr">
        <is>
          <t>test_cron_manifest_has_valid_unique_jobs_and_reconciliation_for_every_entry</t>
        </is>
      </c>
      <c r="I97" s="10" t="inlineStr">
        <is>
          <t>Blocked: missing script</t>
        </is>
      </c>
      <c r="J97" s="10" t="inlineStr">
        <is>
          <t>Yes</t>
        </is>
      </c>
      <c r="K97" s="10" t="inlineStr">
        <is>
          <t>Missing public script: content_daily_morning_context.py</t>
        </is>
      </c>
    </row>
    <row r="98" outlineLevel="1" ht="52" customHeight="1">
      <c r="A98" s="10" t="inlineStr">
        <is>
          <t>F-0097</t>
        </is>
      </c>
      <c r="B98" s="10" t="inlineStr">
        <is>
          <t>Cron</t>
        </is>
      </c>
      <c r="C98" s="10" t="inlineStr">
        <is>
          <t>job-015 brain-vault-weekly-synthesis</t>
        </is>
      </c>
      <c r="D98" s="10" t="inlineStr">
        <is>
          <t>Manifest capability</t>
        </is>
      </c>
      <c r="E98" s="10" t="inlineStr">
        <is>
          <t>As a Kurultai operator, I want job-015 brain-vault-weekly-synthesis so that the system behaves predictably and safely.</t>
        </is>
      </c>
      <c r="F98" s="10" t="inlineStr">
        <is>
          <t>Honor the declared cron 0 9 * * 0 schedule, delivery policy, and skill metadata; never create the job when its referenced script is absent.</t>
        </is>
      </c>
      <c r="G98" s="10" t="inlineStr">
        <is>
          <t>config/runtime-config/cron.manifest.json</t>
        </is>
      </c>
      <c r="H98" s="10" t="inlineStr">
        <is>
          <t>test_cron_manifest_has_valid_unique_jobs_and_reconciliation_for_every_entry</t>
        </is>
      </c>
      <c r="I98" s="10" t="inlineStr">
        <is>
          <t>Contract verified; not installed</t>
        </is>
      </c>
      <c r="J98" s="10" t="inlineStr">
        <is>
          <t>No</t>
        </is>
      </c>
      <c r="K98" s="10" t="inlineStr">
        <is>
          <t>Public contract is valid; runtime creation remains intentionally conservative.</t>
        </is>
      </c>
    </row>
    <row r="99" outlineLevel="1" ht="52" customHeight="1">
      <c r="A99" s="10" t="inlineStr">
        <is>
          <t>F-0098</t>
        </is>
      </c>
      <c r="B99" s="10" t="inlineStr">
        <is>
          <t>Cron</t>
        </is>
      </c>
      <c r="C99" s="10" t="inlineStr">
        <is>
          <t>job-016 polymarket-weather-paper-scan</t>
        </is>
      </c>
      <c r="D99" s="10" t="inlineStr">
        <is>
          <t>Manifest capability</t>
        </is>
      </c>
      <c r="E99" s="10" t="inlineStr">
        <is>
          <t>As a Kurultai operator, I want job-016 polymarket-weather-paper-scan so that the system behaves predictably and safely.</t>
        </is>
      </c>
      <c r="F99" s="10" t="inlineStr">
        <is>
          <t>Honor the declared interval 60 minutes schedule, delivery policy, and skill metadata; never create the job when its referenced script is absent.</t>
        </is>
      </c>
      <c r="G99" s="10" t="inlineStr">
        <is>
          <t>config/runtime-config/cron.manifest.json</t>
        </is>
      </c>
      <c r="H99" s="10" t="inlineStr">
        <is>
          <t>test_cron_manifest_has_valid_unique_jobs_and_reconciliation_for_every_entry</t>
        </is>
      </c>
      <c r="I99" s="10" t="inlineStr">
        <is>
          <t>Blocked: missing script</t>
        </is>
      </c>
      <c r="J99" s="10" t="inlineStr">
        <is>
          <t>Yes</t>
        </is>
      </c>
      <c r="K99" s="10" t="inlineStr">
        <is>
          <t>Missing public script: polymarket_weather_paper_scan_silent.py</t>
        </is>
      </c>
    </row>
    <row r="100" outlineLevel="1" ht="52" customHeight="1">
      <c r="A100" s="10" t="inlineStr">
        <is>
          <t>F-0099</t>
        </is>
      </c>
      <c r="B100" s="10" t="inlineStr">
        <is>
          <t>Cron</t>
        </is>
      </c>
      <c r="C100" s="10" t="inlineStr">
        <is>
          <t>job-017 polymarket-weather-labeler-and-render</t>
        </is>
      </c>
      <c r="D100" s="10" t="inlineStr">
        <is>
          <t>Manifest capability</t>
        </is>
      </c>
      <c r="E100" s="10" t="inlineStr">
        <is>
          <t>As a Kurultai operator, I want job-017 polymarket-weather-labeler-and-render so that the system behaves predictably and safely.</t>
        </is>
      </c>
      <c r="F100" s="10" t="inlineStr">
        <is>
          <t>Honor the declared interval 360 minutes schedule, delivery policy, and skill metadata; never create the job when its referenced script is absent.</t>
        </is>
      </c>
      <c r="G100" s="10" t="inlineStr">
        <is>
          <t>config/runtime-config/cron.manifest.json</t>
        </is>
      </c>
      <c r="H100" s="10" t="inlineStr">
        <is>
          <t>test_cron_manifest_has_valid_unique_jobs_and_reconciliation_for_every_entry</t>
        </is>
      </c>
      <c r="I100" s="10" t="inlineStr">
        <is>
          <t>Blocked: missing script</t>
        </is>
      </c>
      <c r="J100" s="10" t="inlineStr">
        <is>
          <t>Yes</t>
        </is>
      </c>
      <c r="K100" s="10" t="inlineStr">
        <is>
          <t>Missing public script: polymarket_weather_labeler_silent.py</t>
        </is>
      </c>
    </row>
    <row r="101" outlineLevel="1" ht="52" customHeight="1">
      <c r="A101" s="10" t="inlineStr">
        <is>
          <t>F-0100</t>
        </is>
      </c>
      <c r="B101" s="10" t="inlineStr">
        <is>
          <t>Cron</t>
        </is>
      </c>
      <c r="C101" s="10" t="inlineStr">
        <is>
          <t>job-018 subc-room-walk-v0</t>
        </is>
      </c>
      <c r="D101" s="10" t="inlineStr">
        <is>
          <t>Manifest capability</t>
        </is>
      </c>
      <c r="E101" s="10" t="inlineStr">
        <is>
          <t>As a Kurultai operator, I want job-018 subc-room-walk-v0 so that the system behaves predictably and safely.</t>
        </is>
      </c>
      <c r="F101" s="10" t="inlineStr">
        <is>
          <t>Honor the declared cron 0 */6 * * * schedule, delivery policy, and skill metadata; never create the job when its referenced script is absent.</t>
        </is>
      </c>
      <c r="G101" s="10" t="inlineStr">
        <is>
          <t>config/runtime-config/cron.manifest.json</t>
        </is>
      </c>
      <c r="H101" s="10" t="inlineStr">
        <is>
          <t>test_cron_manifest_has_valid_unique_jobs_and_reconciliation_for_every_entry</t>
        </is>
      </c>
      <c r="I101" s="10" t="inlineStr">
        <is>
          <t>Contract verified; not installed</t>
        </is>
      </c>
      <c r="J101" s="10" t="inlineStr">
        <is>
          <t>No</t>
        </is>
      </c>
      <c r="K101" s="10" t="inlineStr">
        <is>
          <t>Public contract is valid; runtime creation remains intentionally conservative.</t>
        </is>
      </c>
    </row>
    <row r="102" outlineLevel="1" ht="52" customHeight="1">
      <c r="A102" s="10" t="inlineStr">
        <is>
          <t>F-0101</t>
        </is>
      </c>
      <c r="B102" s="10" t="inlineStr">
        <is>
          <t>Cron</t>
        </is>
      </c>
      <c r="C102" s="10" t="inlineStr">
        <is>
          <t>job-019 subc-digest-v0</t>
        </is>
      </c>
      <c r="D102" s="10" t="inlineStr">
        <is>
          <t>Manifest capability</t>
        </is>
      </c>
      <c r="E102" s="10" t="inlineStr">
        <is>
          <t>As a Kurultai operator, I want job-019 subc-digest-v0 so that the system behaves predictably and safely.</t>
        </is>
      </c>
      <c r="F102" s="10" t="inlineStr">
        <is>
          <t>Honor the declared cron 0 6,12,18 * * * schedule, delivery policy, and skill metadata; never create the job when its referenced script is absent.</t>
        </is>
      </c>
      <c r="G102" s="10" t="inlineStr">
        <is>
          <t>config/runtime-config/cron.manifest.json</t>
        </is>
      </c>
      <c r="H102" s="10" t="inlineStr">
        <is>
          <t>test_cron_manifest_has_valid_unique_jobs_and_reconciliation_for_every_entry</t>
        </is>
      </c>
      <c r="I102" s="10" t="inlineStr">
        <is>
          <t>Contract verified; not installed</t>
        </is>
      </c>
      <c r="J102" s="10" t="inlineStr">
        <is>
          <t>No</t>
        </is>
      </c>
      <c r="K102" s="10" t="inlineStr">
        <is>
          <t>Public contract is valid; runtime creation remains intentionally conservative.</t>
        </is>
      </c>
    </row>
    <row r="103" outlineLevel="1" ht="52" customHeight="1">
      <c r="A103" s="10" t="inlineStr">
        <is>
          <t>F-0102</t>
        </is>
      </c>
      <c r="B103" s="10" t="inlineStr">
        <is>
          <t>Cron</t>
        </is>
      </c>
      <c r="C103" s="10" t="inlineStr">
        <is>
          <t>job-020 kaidu-prompt-lab-review</t>
        </is>
      </c>
      <c r="D103" s="10" t="inlineStr">
        <is>
          <t>Manifest capability</t>
        </is>
      </c>
      <c r="E103" s="10" t="inlineStr">
        <is>
          <t>As a Kurultai operator, I want job-020 kaidu-prompt-lab-review so that the system behaves predictably and safely.</t>
        </is>
      </c>
      <c r="F103" s="10" t="inlineStr">
        <is>
          <t>Honor the declared cron 0 8 * * * schedule, delivery policy, and skill metadata; never create the job when its referenced script is absent.</t>
        </is>
      </c>
      <c r="G103" s="10" t="inlineStr">
        <is>
          <t>config/runtime-config/cron.manifest.json</t>
        </is>
      </c>
      <c r="H103" s="10" t="inlineStr">
        <is>
          <t>test_cron_manifest_has_valid_unique_jobs_and_reconciliation_for_every_entry</t>
        </is>
      </c>
      <c r="I103" s="10" t="inlineStr">
        <is>
          <t>Blocked: missing script</t>
        </is>
      </c>
      <c r="J103" s="10" t="inlineStr">
        <is>
          <t>Yes</t>
        </is>
      </c>
      <c r="K103" s="10" t="inlineStr">
        <is>
          <t>Missing public script: kaidu_prompt_lab_review.py</t>
        </is>
      </c>
    </row>
    <row r="104" outlineLevel="1" ht="52" customHeight="1">
      <c r="A104" s="10" t="inlineStr">
        <is>
          <t>F-0103</t>
        </is>
      </c>
      <c r="B104" s="10" t="inlineStr">
        <is>
          <t>Cron</t>
        </is>
      </c>
      <c r="C104" s="10" t="inlineStr">
        <is>
          <t>job-021 fantasy-sumo-live-ingestion</t>
        </is>
      </c>
      <c r="D104" s="10" t="inlineStr">
        <is>
          <t>Manifest capability</t>
        </is>
      </c>
      <c r="E104" s="10" t="inlineStr">
        <is>
          <t>As a Kurultai operator, I want job-021 fantasy-sumo-live-ingestion so that the system behaves predictably and safely.</t>
        </is>
      </c>
      <c r="F104" s="10" t="inlineStr">
        <is>
          <t>Honor the declared interval 60 minutes schedule, delivery policy, and skill metadata; never create the job when its referenced script is absent.</t>
        </is>
      </c>
      <c r="G104" s="10" t="inlineStr">
        <is>
          <t>config/runtime-config/cron.manifest.json</t>
        </is>
      </c>
      <c r="H104" s="10" t="inlineStr">
        <is>
          <t>test_cron_manifest_has_valid_unique_jobs_and_reconciliation_for_every_entry</t>
        </is>
      </c>
      <c r="I104" s="10" t="inlineStr">
        <is>
          <t>Blocked: missing script</t>
        </is>
      </c>
      <c r="J104" s="10" t="inlineStr">
        <is>
          <t>Yes</t>
        </is>
      </c>
      <c r="K104" s="10" t="inlineStr">
        <is>
          <t>Missing public script: fantasy_sumo_live_ingestion_silent.py</t>
        </is>
      </c>
    </row>
    <row r="105" outlineLevel="1" ht="52" customHeight="1">
      <c r="A105" s="10" t="inlineStr">
        <is>
          <t>F-0104</t>
        </is>
      </c>
      <c r="B105" s="10" t="inlineStr">
        <is>
          <t>Cron</t>
        </is>
      </c>
      <c r="C105" s="10" t="inlineStr">
        <is>
          <t>job-022 kanban-health-monitor</t>
        </is>
      </c>
      <c r="D105" s="10" t="inlineStr">
        <is>
          <t>Manifest capability</t>
        </is>
      </c>
      <c r="E105" s="10" t="inlineStr">
        <is>
          <t>As a Kurultai operator, I want job-022 kanban-health-monitor so that the system behaves predictably and safely.</t>
        </is>
      </c>
      <c r="F105" s="10" t="inlineStr">
        <is>
          <t>Honor the declared interval 60 minutes schedule, delivery policy, and skill metadata; never create the job when its referenced script is absent.</t>
        </is>
      </c>
      <c r="G105" s="10" t="inlineStr">
        <is>
          <t>config/runtime-config/cron.manifest.json</t>
        </is>
      </c>
      <c r="H105" s="10" t="inlineStr">
        <is>
          <t>test_cron_manifest_has_valid_unique_jobs_and_reconciliation_for_every_entry</t>
        </is>
      </c>
      <c r="I105" s="10" t="inlineStr">
        <is>
          <t>Blocked: missing script</t>
        </is>
      </c>
      <c r="J105" s="10" t="inlineStr">
        <is>
          <t>Yes</t>
        </is>
      </c>
      <c r="K105" s="10" t="inlineStr">
        <is>
          <t>Missing public script: kanban_health_monitor_silent.py</t>
        </is>
      </c>
    </row>
    <row r="106" outlineLevel="1" ht="52" customHeight="1">
      <c r="A106" s="10" t="inlineStr">
        <is>
          <t>F-0105</t>
        </is>
      </c>
      <c r="B106" s="10" t="inlineStr">
        <is>
          <t>Cron</t>
        </is>
      </c>
      <c r="C106" s="10" t="inlineStr">
        <is>
          <t>job-023 brain-docs-hygiene-monthly</t>
        </is>
      </c>
      <c r="D106" s="10" t="inlineStr">
        <is>
          <t>Manifest capability</t>
        </is>
      </c>
      <c r="E106" s="10" t="inlineStr">
        <is>
          <t>As a Kurultai operator, I want job-023 brain-docs-hygiene-monthly so that the system behaves predictably and safely.</t>
        </is>
      </c>
      <c r="F106" s="10" t="inlineStr">
        <is>
          <t>Honor the declared cron 0 9 1 * * schedule, delivery policy, and skill metadata; never create the job when its referenced script is absent.</t>
        </is>
      </c>
      <c r="G106" s="10" t="inlineStr">
        <is>
          <t>config/runtime-config/cron.manifest.json</t>
        </is>
      </c>
      <c r="H106" s="10" t="inlineStr">
        <is>
          <t>test_cron_manifest_has_valid_unique_jobs_and_reconciliation_for_every_entry</t>
        </is>
      </c>
      <c r="I106" s="10" t="inlineStr">
        <is>
          <t>Contract verified; not installed</t>
        </is>
      </c>
      <c r="J106" s="10" t="inlineStr">
        <is>
          <t>No</t>
        </is>
      </c>
      <c r="K106" s="10" t="inlineStr">
        <is>
          <t>Public contract is valid; runtime creation remains intentionally conservative.</t>
        </is>
      </c>
    </row>
    <row r="107" outlineLevel="1" ht="52" customHeight="1">
      <c r="A107" s="10" t="inlineStr">
        <is>
          <t>F-0106</t>
        </is>
      </c>
      <c r="B107" s="10" t="inlineStr">
        <is>
          <t>Cron</t>
        </is>
      </c>
      <c r="C107" s="10" t="inlineStr">
        <is>
          <t>job-024 monitor-first-action-learning-loop-integration</t>
        </is>
      </c>
      <c r="D107" s="10" t="inlineStr">
        <is>
          <t>Manifest capability</t>
        </is>
      </c>
      <c r="E107" s="10" t="inlineStr">
        <is>
          <t>As a Kurultai operator, I want job-024 monitor-first-action-learning-loop-integration so that the system behaves predictably and safely.</t>
        </is>
      </c>
      <c r="F107" s="10" t="inlineStr">
        <is>
          <t>Honor the declared interval 30 minutes schedule, delivery policy, and skill metadata; never create the job when its referenced script is absent.</t>
        </is>
      </c>
      <c r="G107" s="10" t="inlineStr">
        <is>
          <t>config/runtime-config/cron.manifest.json</t>
        </is>
      </c>
      <c r="H107" s="10" t="inlineStr">
        <is>
          <t>test_cron_manifest_has_valid_unique_jobs_and_reconciliation_for_every_entry</t>
        </is>
      </c>
      <c r="I107" s="10" t="inlineStr">
        <is>
          <t>Contract verified; not installed</t>
        </is>
      </c>
      <c r="J107" s="10" t="inlineStr">
        <is>
          <t>No</t>
        </is>
      </c>
      <c r="K107" s="10" t="inlineStr">
        <is>
          <t>Public contract is valid; runtime creation remains intentionally conservative.</t>
        </is>
      </c>
    </row>
    <row r="108" outlineLevel="1" ht="52" customHeight="1">
      <c r="A108" s="10" t="inlineStr">
        <is>
          <t>F-0107</t>
        </is>
      </c>
      <c r="B108" s="10" t="inlineStr">
        <is>
          <t>Cron</t>
        </is>
      </c>
      <c r="C108" s="10" t="inlineStr">
        <is>
          <t>job-025 monitor-agi-harness-v0-autonomous-implementation</t>
        </is>
      </c>
      <c r="D108" s="10" t="inlineStr">
        <is>
          <t>Manifest capability</t>
        </is>
      </c>
      <c r="E108" s="10" t="inlineStr">
        <is>
          <t>As a Kurultai operator, I want job-025 monitor-agi-harness-v0-autonomous-implementation so that the system behaves predictably and safely.</t>
        </is>
      </c>
      <c r="F108" s="10" t="inlineStr">
        <is>
          <t>Honor the declared interval 30 minutes schedule, delivery policy, and skill metadata; never create the job when its referenced script is absent.</t>
        </is>
      </c>
      <c r="G108" s="10" t="inlineStr">
        <is>
          <t>config/runtime-config/cron.manifest.json</t>
        </is>
      </c>
      <c r="H108" s="10" t="inlineStr">
        <is>
          <t>test_cron_manifest_has_valid_unique_jobs_and_reconciliation_for_every_entry</t>
        </is>
      </c>
      <c r="I108" s="10" t="inlineStr">
        <is>
          <t>Blocked: missing script</t>
        </is>
      </c>
      <c r="J108" s="10" t="inlineStr">
        <is>
          <t>Yes</t>
        </is>
      </c>
      <c r="K108" s="10" t="inlineStr">
        <is>
          <t>Missing public script: agi_harness_v0_monitor.py</t>
        </is>
      </c>
    </row>
    <row r="109" outlineLevel="1" ht="52" customHeight="1">
      <c r="A109" s="10" t="inlineStr">
        <is>
          <t>F-0108</t>
        </is>
      </c>
      <c r="B109" s="10" t="inlineStr">
        <is>
          <t>Cron</t>
        </is>
      </c>
      <c r="C109" s="10" t="inlineStr">
        <is>
          <t>job-026 daily-token-efficiency-capability-proposal</t>
        </is>
      </c>
      <c r="D109" s="10" t="inlineStr">
        <is>
          <t>Manifest capability</t>
        </is>
      </c>
      <c r="E109" s="10" t="inlineStr">
        <is>
          <t>As a Kurultai operator, I want job-026 daily-token-efficiency-capability-proposal so that the system behaves predictably and safely.</t>
        </is>
      </c>
      <c r="F109" s="10" t="inlineStr">
        <is>
          <t>Honor the declared cron 35 7 * * * schedule, delivery policy, and skill metadata; never create the job when its referenced script is absent.</t>
        </is>
      </c>
      <c r="G109" s="10" t="inlineStr">
        <is>
          <t>config/runtime-config/cron.manifest.json</t>
        </is>
      </c>
      <c r="H109" s="10" t="inlineStr">
        <is>
          <t>test_cron_manifest_has_valid_unique_jobs_and_reconciliation_for_every_entry</t>
        </is>
      </c>
      <c r="I109" s="10" t="inlineStr">
        <is>
          <t>Blocked: missing script</t>
        </is>
      </c>
      <c r="J109" s="10" t="inlineStr">
        <is>
          <t>Yes</t>
        </is>
      </c>
      <c r="K109" s="10" t="inlineStr">
        <is>
          <t>Missing public script: daily_token_efficiency_scan.py</t>
        </is>
      </c>
    </row>
    <row r="110" outlineLevel="1" ht="52" customHeight="1">
      <c r="A110" s="10" t="inlineStr">
        <is>
          <t>F-0109</t>
        </is>
      </c>
      <c r="B110" s="10" t="inlineStr">
        <is>
          <t>Cron</t>
        </is>
      </c>
      <c r="C110" s="10" t="inlineStr">
        <is>
          <t>job-027 kanban-crash-investigator</t>
        </is>
      </c>
      <c r="D110" s="10" t="inlineStr">
        <is>
          <t>Manifest capability</t>
        </is>
      </c>
      <c r="E110" s="10" t="inlineStr">
        <is>
          <t>As a Kurultai operator, I want job-027 kanban-crash-investigator so that the system behaves predictably and safely.</t>
        </is>
      </c>
      <c r="F110" s="10" t="inlineStr">
        <is>
          <t>Honor the declared interval 1 minutes schedule, delivery policy, and skill metadata; never create the job when its referenced script is absent.</t>
        </is>
      </c>
      <c r="G110" s="10" t="inlineStr">
        <is>
          <t>config/runtime-config/cron.manifest.json</t>
        </is>
      </c>
      <c r="H110" s="10" t="inlineStr">
        <is>
          <t>test_cron_manifest_has_valid_unique_jobs_and_reconciliation_for_every_entry</t>
        </is>
      </c>
      <c r="I110" s="10" t="inlineStr">
        <is>
          <t>Blocked: missing script</t>
        </is>
      </c>
      <c r="J110" s="10" t="inlineStr">
        <is>
          <t>Yes</t>
        </is>
      </c>
      <c r="K110" s="10" t="inlineStr">
        <is>
          <t>Missing public script: kanban_crash_investigator.py</t>
        </is>
      </c>
    </row>
    <row r="111" outlineLevel="1" ht="52" customHeight="1">
      <c r="A111" s="10" t="inlineStr">
        <is>
          <t>F-0110</t>
        </is>
      </c>
      <c r="B111" s="10" t="inlineStr">
        <is>
          <t>Cron</t>
        </is>
      </c>
      <c r="C111" s="10" t="inlineStr">
        <is>
          <t>job-028 brain-dreamer-v0</t>
        </is>
      </c>
      <c r="D111" s="10" t="inlineStr">
        <is>
          <t>Manifest capability</t>
        </is>
      </c>
      <c r="E111" s="10" t="inlineStr">
        <is>
          <t>As a Kurultai operator, I want job-028 brain-dreamer-v0 so that the system behaves predictably and safely.</t>
        </is>
      </c>
      <c r="F111" s="10" t="inlineStr">
        <is>
          <t>Honor the declared interval 5 minutes schedule, delivery policy, and skill metadata; never create the job when its referenced script is absent.</t>
        </is>
      </c>
      <c r="G111" s="10" t="inlineStr">
        <is>
          <t>config/runtime-config/cron.manifest.json</t>
        </is>
      </c>
      <c r="H111" s="10" t="inlineStr">
        <is>
          <t>test_cron_manifest_has_valid_unique_jobs_and_reconciliation_for_every_entry</t>
        </is>
      </c>
      <c r="I111" s="10" t="inlineStr">
        <is>
          <t>Blocked: missing script</t>
        </is>
      </c>
      <c r="J111" s="10" t="inlineStr">
        <is>
          <t>Yes</t>
        </is>
      </c>
      <c r="K111" s="10" t="inlineStr">
        <is>
          <t>Missing public script: brain_dreamer_run_once.py</t>
        </is>
      </c>
    </row>
    <row r="112" outlineLevel="1" ht="52" customHeight="1">
      <c r="A112" s="10" t="inlineStr">
        <is>
          <t>F-0111</t>
        </is>
      </c>
      <c r="B112" s="10" t="inlineStr">
        <is>
          <t>Cron</t>
        </is>
      </c>
      <c r="C112" s="10" t="inlineStr">
        <is>
          <t>job-029 brain-dreamer-frontier-review</t>
        </is>
      </c>
      <c r="D112" s="10" t="inlineStr">
        <is>
          <t>Manifest capability</t>
        </is>
      </c>
      <c r="E112" s="10" t="inlineStr">
        <is>
          <t>As a Kurultai operator, I want job-029 brain-dreamer-frontier-review so that the system behaves predictably and safely.</t>
        </is>
      </c>
      <c r="F112" s="10" t="inlineStr">
        <is>
          <t>Honor the declared interval 60 minutes schedule, delivery policy, and skill metadata; never create the job when its referenced script is absent.</t>
        </is>
      </c>
      <c r="G112" s="10" t="inlineStr">
        <is>
          <t>config/runtime-config/cron.manifest.json</t>
        </is>
      </c>
      <c r="H112" s="10" t="inlineStr">
        <is>
          <t>test_cron_manifest_has_valid_unique_jobs_and_reconciliation_for_every_entry</t>
        </is>
      </c>
      <c r="I112" s="10" t="inlineStr">
        <is>
          <t>Blocked: missing script</t>
        </is>
      </c>
      <c r="J112" s="10" t="inlineStr">
        <is>
          <t>Yes</t>
        </is>
      </c>
      <c r="K112" s="10" t="inlineStr">
        <is>
          <t>Missing public script: brain_dreamer_frontier_gate.py</t>
        </is>
      </c>
    </row>
    <row r="113" outlineLevel="1" ht="52" customHeight="1">
      <c r="A113" s="10" t="inlineStr">
        <is>
          <t>F-0112</t>
        </is>
      </c>
      <c r="B113" s="10" t="inlineStr">
        <is>
          <t>Cron</t>
        </is>
      </c>
      <c r="C113" s="10" t="inlineStr">
        <is>
          <t>job-030 agi-caretaker-scorecard</t>
        </is>
      </c>
      <c r="D113" s="10" t="inlineStr">
        <is>
          <t>Manifest capability</t>
        </is>
      </c>
      <c r="E113" s="10" t="inlineStr">
        <is>
          <t>As a Kurultai operator, I want job-030 agi-caretaker-scorecard so that the system behaves predictably and safely.</t>
        </is>
      </c>
      <c r="F113" s="10" t="inlineStr">
        <is>
          <t>Honor the declared interval 360 minutes schedule, delivery policy, and skill metadata; never create the job when its referenced script is absent.</t>
        </is>
      </c>
      <c r="G113" s="10" t="inlineStr">
        <is>
          <t>config/runtime-config/cron.manifest.json</t>
        </is>
      </c>
      <c r="H113" s="10" t="inlineStr">
        <is>
          <t>test_cron_manifest_has_valid_unique_jobs_and_reconciliation_for_every_entry</t>
        </is>
      </c>
      <c r="I113" s="10" t="inlineStr">
        <is>
          <t>Blocked: missing script</t>
        </is>
      </c>
      <c r="J113" s="10" t="inlineStr">
        <is>
          <t>Yes</t>
        </is>
      </c>
      <c r="K113" s="10" t="inlineStr">
        <is>
          <t>Missing public script: agi_caretaker_scorecard.py</t>
        </is>
      </c>
    </row>
    <row r="114" outlineLevel="1" ht="52" customHeight="1">
      <c r="A114" s="10" t="inlineStr">
        <is>
          <t>F-0113</t>
        </is>
      </c>
      <c r="B114" s="10" t="inlineStr">
        <is>
          <t>Cron</t>
        </is>
      </c>
      <c r="C114" s="10" t="inlineStr">
        <is>
          <t>job-031 dreamer-learn-rules</t>
        </is>
      </c>
      <c r="D114" s="10" t="inlineStr">
        <is>
          <t>Manifest capability</t>
        </is>
      </c>
      <c r="E114" s="10" t="inlineStr">
        <is>
          <t>As a Kurultai operator, I want job-031 dreamer-learn-rules so that the system behaves predictably and safely.</t>
        </is>
      </c>
      <c r="F114" s="10" t="inlineStr">
        <is>
          <t>Honor the declared cron 0 */6 * * * schedule, delivery policy, and skill metadata; never create the job when its referenced script is absent.</t>
        </is>
      </c>
      <c r="G114" s="10" t="inlineStr">
        <is>
          <t>config/runtime-config/cron.manifest.json</t>
        </is>
      </c>
      <c r="H114" s="10" t="inlineStr">
        <is>
          <t>test_cron_manifest_has_valid_unique_jobs_and_reconciliation_for_every_entry</t>
        </is>
      </c>
      <c r="I114" s="10" t="inlineStr">
        <is>
          <t>Blocked: missing script</t>
        </is>
      </c>
      <c r="J114" s="10" t="inlineStr">
        <is>
          <t>Yes</t>
        </is>
      </c>
      <c r="K114" s="10" t="inlineStr">
        <is>
          <t>Missing public script: dreamer_learn_rules.py</t>
        </is>
      </c>
    </row>
    <row r="115" outlineLevel="1" ht="52" customHeight="1">
      <c r="A115" s="10" t="inlineStr">
        <is>
          <t>F-0114</t>
        </is>
      </c>
      <c r="B115" s="10" t="inlineStr">
        <is>
          <t>Cron</t>
        </is>
      </c>
      <c r="C115" s="10" t="inlineStr">
        <is>
          <t>job-032 dreamer-promotion-adapter</t>
        </is>
      </c>
      <c r="D115" s="10" t="inlineStr">
        <is>
          <t>Manifest capability</t>
        </is>
      </c>
      <c r="E115" s="10" t="inlineStr">
        <is>
          <t>As a Kurultai operator, I want job-032 dreamer-promotion-adapter so that the system behaves predictably and safely.</t>
        </is>
      </c>
      <c r="F115" s="10" t="inlineStr">
        <is>
          <t>Honor the declared interval 60 minutes schedule, delivery policy, and skill metadata; never create the job when its referenced script is absent.</t>
        </is>
      </c>
      <c r="G115" s="10" t="inlineStr">
        <is>
          <t>config/runtime-config/cron.manifest.json</t>
        </is>
      </c>
      <c r="H115" s="10" t="inlineStr">
        <is>
          <t>test_cron_manifest_has_valid_unique_jobs_and_reconciliation_for_every_entry</t>
        </is>
      </c>
      <c r="I115" s="10" t="inlineStr">
        <is>
          <t>Blocked: missing script</t>
        </is>
      </c>
      <c r="J115" s="10" t="inlineStr">
        <is>
          <t>Yes</t>
        </is>
      </c>
      <c r="K115" s="10" t="inlineStr">
        <is>
          <t>Missing public script: dreamer_promote.py</t>
        </is>
      </c>
    </row>
    <row r="116" outlineLevel="1" ht="52" customHeight="1">
      <c r="A116" s="10" t="inlineStr">
        <is>
          <t>F-0115</t>
        </is>
      </c>
      <c r="B116" s="10" t="inlineStr">
        <is>
          <t>Cron</t>
        </is>
      </c>
      <c r="C116" s="10" t="inlineStr">
        <is>
          <t>job-033 agent-health-monitor</t>
        </is>
      </c>
      <c r="D116" s="10" t="inlineStr">
        <is>
          <t>Manifest capability</t>
        </is>
      </c>
      <c r="E116" s="10" t="inlineStr">
        <is>
          <t>As a Kurultai operator, I want job-033 agent-health-monitor so that the system behaves predictably and safely.</t>
        </is>
      </c>
      <c r="F116" s="10" t="inlineStr">
        <is>
          <t>Honor the declared interval 360 minutes schedule, delivery policy, and skill metadata; never create the job when its referenced script is absent.</t>
        </is>
      </c>
      <c r="G116" s="10" t="inlineStr">
        <is>
          <t>config/runtime-config/cron.manifest.json</t>
        </is>
      </c>
      <c r="H116" s="10" t="inlineStr">
        <is>
          <t>test_cron_manifest_has_valid_unique_jobs_and_reconciliation_for_every_entry</t>
        </is>
      </c>
      <c r="I116" s="10" t="inlineStr">
        <is>
          <t>Blocked: missing script</t>
        </is>
      </c>
      <c r="J116" s="10" t="inlineStr">
        <is>
          <t>Yes</t>
        </is>
      </c>
      <c r="K116" s="10" t="inlineStr">
        <is>
          <t>Missing public script: agent_health_report.sh</t>
        </is>
      </c>
    </row>
    <row r="117" outlineLevel="1" ht="52" customHeight="1">
      <c r="A117" s="10" t="inlineStr">
        <is>
          <t>F-0116</t>
        </is>
      </c>
      <c r="B117" s="10" t="inlineStr">
        <is>
          <t>Cron</t>
        </is>
      </c>
      <c r="C117" s="10" t="inlineStr">
        <is>
          <t>job-034 buildroom-autonomy-cycle</t>
        </is>
      </c>
      <c r="D117" s="10" t="inlineStr">
        <is>
          <t>Manifest capability</t>
        </is>
      </c>
      <c r="E117" s="10" t="inlineStr">
        <is>
          <t>As a Kurultai operator, I want job-034 buildroom-autonomy-cycle so that the system behaves predictably and safely.</t>
        </is>
      </c>
      <c r="F117" s="10" t="inlineStr">
        <is>
          <t>Honor the declared interval 60 minutes schedule, delivery policy, and skill metadata; never create the job when its referenced script is absent.</t>
        </is>
      </c>
      <c r="G117" s="10" t="inlineStr">
        <is>
          <t>config/runtime-config/cron.manifest.json</t>
        </is>
      </c>
      <c r="H117" s="10" t="inlineStr">
        <is>
          <t>test_cron_manifest_has_valid_unique_jobs_and_reconciliation_for_every_entry</t>
        </is>
      </c>
      <c r="I117" s="10" t="inlineStr">
        <is>
          <t>Blocked: missing script</t>
        </is>
      </c>
      <c r="J117" s="10" t="inlineStr">
        <is>
          <t>Yes</t>
        </is>
      </c>
      <c r="K117" s="10" t="inlineStr">
        <is>
          <t>Missing public script: buildroom_autonomy_cycle.py</t>
        </is>
      </c>
    </row>
    <row r="118" outlineLevel="1" ht="52" customHeight="1">
      <c r="A118" s="10" t="inlineStr">
        <is>
          <t>F-0117</t>
        </is>
      </c>
      <c r="B118" s="10" t="inlineStr">
        <is>
          <t>Cron</t>
        </is>
      </c>
      <c r="C118" s="10" t="inlineStr">
        <is>
          <t>job-035 buildroom-freshness-canary</t>
        </is>
      </c>
      <c r="D118" s="10" t="inlineStr">
        <is>
          <t>Manifest capability</t>
        </is>
      </c>
      <c r="E118" s="10" t="inlineStr">
        <is>
          <t>As a Kurultai operator, I want job-035 buildroom-freshness-canary so that the system behaves predictably and safely.</t>
        </is>
      </c>
      <c r="F118" s="10" t="inlineStr">
        <is>
          <t>Honor the declared interval 60 minutes schedule, delivery policy, and skill metadata; never create the job when its referenced script is absent.</t>
        </is>
      </c>
      <c r="G118" s="10" t="inlineStr">
        <is>
          <t>config/runtime-config/cron.manifest.json</t>
        </is>
      </c>
      <c r="H118" s="10" t="inlineStr">
        <is>
          <t>test_cron_manifest_has_valid_unique_jobs_and_reconciliation_for_every_entry</t>
        </is>
      </c>
      <c r="I118" s="10" t="inlineStr">
        <is>
          <t>Blocked: missing script</t>
        </is>
      </c>
      <c r="J118" s="10" t="inlineStr">
        <is>
          <t>Yes</t>
        </is>
      </c>
      <c r="K118" s="10" t="inlineStr">
        <is>
          <t>Missing public script: buildroom_freshness_canary.py</t>
        </is>
      </c>
    </row>
    <row r="119" outlineLevel="1" ht="52" customHeight="1">
      <c r="A119" s="10" t="inlineStr">
        <is>
          <t>F-0118</t>
        </is>
      </c>
      <c r="B119" s="10" t="inlineStr">
        <is>
          <t>Cron</t>
        </is>
      </c>
      <c r="C119" s="10" t="inlineStr">
        <is>
          <t>job-036 gateway-responsiveness-canary</t>
        </is>
      </c>
      <c r="D119" s="10" t="inlineStr">
        <is>
          <t>Manifest capability</t>
        </is>
      </c>
      <c r="E119" s="10" t="inlineStr">
        <is>
          <t>As a Kurultai operator, I want job-036 gateway-responsiveness-canary so that the system behaves predictably and safely.</t>
        </is>
      </c>
      <c r="F119" s="10" t="inlineStr">
        <is>
          <t>Honor the declared interval 5 minutes schedule, delivery policy, and skill metadata; never create the job when its referenced script is absent.</t>
        </is>
      </c>
      <c r="G119" s="10" t="inlineStr">
        <is>
          <t>config/runtime-config/cron.manifest.json</t>
        </is>
      </c>
      <c r="H119" s="10" t="inlineStr">
        <is>
          <t>test_cron_manifest_has_valid_unique_jobs_and_reconciliation_for_every_entry</t>
        </is>
      </c>
      <c r="I119" s="10" t="inlineStr">
        <is>
          <t>Blocked: missing script</t>
        </is>
      </c>
      <c r="J119" s="10" t="inlineStr">
        <is>
          <t>Yes</t>
        </is>
      </c>
      <c r="K119" s="10" t="inlineStr">
        <is>
          <t>Missing public script: gateway_responsiveness_canary.py</t>
        </is>
      </c>
    </row>
    <row r="120" outlineLevel="1" ht="52" customHeight="1">
      <c r="A120" s="10" t="inlineStr">
        <is>
          <t>F-0119</t>
        </is>
      </c>
      <c r="B120" s="10" t="inlineStr">
        <is>
          <t>Cron</t>
        </is>
      </c>
      <c r="C120" s="10" t="inlineStr">
        <is>
          <t>job-037 dreamer-watchdog-silent</t>
        </is>
      </c>
      <c r="D120" s="10" t="inlineStr">
        <is>
          <t>Manifest capability</t>
        </is>
      </c>
      <c r="E120" s="10" t="inlineStr">
        <is>
          <t>As a Kurultai operator, I want job-037 dreamer-watchdog-silent so that the system behaves predictably and safely.</t>
        </is>
      </c>
      <c r="F120" s="10" t="inlineStr">
        <is>
          <t>Honor the declared interval 5 minutes schedule, delivery policy, and skill metadata; never create the job when its referenced script is absent.</t>
        </is>
      </c>
      <c r="G120" s="10" t="inlineStr">
        <is>
          <t>config/runtime-config/cron.manifest.json</t>
        </is>
      </c>
      <c r="H120" s="10" t="inlineStr">
        <is>
          <t>test_cron_manifest_has_valid_unique_jobs_and_reconciliation_for_every_entry</t>
        </is>
      </c>
      <c r="I120" s="10" t="inlineStr">
        <is>
          <t>Blocked: missing script</t>
        </is>
      </c>
      <c r="J120" s="10" t="inlineStr">
        <is>
          <t>Yes</t>
        </is>
      </c>
      <c r="K120" s="10" t="inlineStr">
        <is>
          <t>Missing public script: dreamer_watchdog.py</t>
        </is>
      </c>
    </row>
    <row r="121" outlineLevel="1" ht="52" customHeight="1">
      <c r="A121" s="10" t="inlineStr">
        <is>
          <t>F-0120</t>
        </is>
      </c>
      <c r="B121" s="10" t="inlineStr">
        <is>
          <t>Cron</t>
        </is>
      </c>
      <c r="C121" s="10" t="inlineStr">
        <is>
          <t>job-038 tailnet-health-canary</t>
        </is>
      </c>
      <c r="D121" s="10" t="inlineStr">
        <is>
          <t>Manifest capability</t>
        </is>
      </c>
      <c r="E121" s="10" t="inlineStr">
        <is>
          <t>As a Kurultai operator, I want job-038 tailnet-health-canary so that the system behaves predictably and safely.</t>
        </is>
      </c>
      <c r="F121" s="10" t="inlineStr">
        <is>
          <t>Honor the declared interval 15 minutes schedule, delivery policy, and skill metadata; never create the job when its referenced script is absent.</t>
        </is>
      </c>
      <c r="G121" s="10" t="inlineStr">
        <is>
          <t>config/runtime-config/cron.manifest.json</t>
        </is>
      </c>
      <c r="H121" s="10" t="inlineStr">
        <is>
          <t>test_cron_manifest_has_valid_unique_jobs_and_reconciliation_for_every_entry</t>
        </is>
      </c>
      <c r="I121" s="10" t="inlineStr">
        <is>
          <t>Blocked: missing script</t>
        </is>
      </c>
      <c r="J121" s="10" t="inlineStr">
        <is>
          <t>Yes</t>
        </is>
      </c>
      <c r="K121" s="10" t="inlineStr">
        <is>
          <t>Missing public script: tailnet_health_canary.py</t>
        </is>
      </c>
    </row>
    <row r="122" outlineLevel="1" ht="52" customHeight="1">
      <c r="A122" s="10" t="inlineStr">
        <is>
          <t>F-0121</t>
        </is>
      </c>
      <c r="B122" s="10" t="inlineStr">
        <is>
          <t>Cron</t>
        </is>
      </c>
      <c r="C122" s="10" t="inlineStr">
        <is>
          <t>job-039 tmux-session-canary</t>
        </is>
      </c>
      <c r="D122" s="10" t="inlineStr">
        <is>
          <t>Manifest capability</t>
        </is>
      </c>
      <c r="E122" s="10" t="inlineStr">
        <is>
          <t>As a Kurultai operator, I want job-039 tmux-session-canary so that the system behaves predictably and safely.</t>
        </is>
      </c>
      <c r="F122" s="10" t="inlineStr">
        <is>
          <t>Honor the declared interval 60 minutes schedule, delivery policy, and skill metadata; never create the job when its referenced script is absent.</t>
        </is>
      </c>
      <c r="G122" s="10" t="inlineStr">
        <is>
          <t>config/runtime-config/cron.manifest.json</t>
        </is>
      </c>
      <c r="H122" s="10" t="inlineStr">
        <is>
          <t>test_cron_manifest_has_valid_unique_jobs_and_reconciliation_for_every_entry</t>
        </is>
      </c>
      <c r="I122" s="10" t="inlineStr">
        <is>
          <t>Blocked: missing script</t>
        </is>
      </c>
      <c r="J122" s="10" t="inlineStr">
        <is>
          <t>Yes</t>
        </is>
      </c>
      <c r="K122" s="10" t="inlineStr">
        <is>
          <t>Missing public script: tmux_session_canary.py</t>
        </is>
      </c>
    </row>
    <row r="123" outlineLevel="1" ht="52" customHeight="1">
      <c r="A123" s="10" t="inlineStr">
        <is>
          <t>F-0122</t>
        </is>
      </c>
      <c r="B123" s="10" t="inlineStr">
        <is>
          <t>Cron</t>
        </is>
      </c>
      <c r="C123" s="10" t="inlineStr">
        <is>
          <t>job-040 cross-device-foundation-canary</t>
        </is>
      </c>
      <c r="D123" s="10" t="inlineStr">
        <is>
          <t>Manifest capability</t>
        </is>
      </c>
      <c r="E123" s="10" t="inlineStr">
        <is>
          <t>As a Kurultai operator, I want job-040 cross-device-foundation-canary so that the system behaves predictably and safely.</t>
        </is>
      </c>
      <c r="F123" s="10" t="inlineStr">
        <is>
          <t>Honor the declared interval 15 minutes schedule, delivery policy, and skill metadata; never create the job when its referenced script is absent.</t>
        </is>
      </c>
      <c r="G123" s="10" t="inlineStr">
        <is>
          <t>config/runtime-config/cron.manifest.json</t>
        </is>
      </c>
      <c r="H123" s="10" t="inlineStr">
        <is>
          <t>test_cron_manifest_has_valid_unique_jobs_and_reconciliation_for_every_entry</t>
        </is>
      </c>
      <c r="I123" s="10" t="inlineStr">
        <is>
          <t>Blocked: missing script</t>
        </is>
      </c>
      <c r="J123" s="10" t="inlineStr">
        <is>
          <t>Yes</t>
        </is>
      </c>
      <c r="K123" s="10" t="inlineStr">
        <is>
          <t>Missing public script: cross_device_foundation_canary.py</t>
        </is>
      </c>
    </row>
    <row r="124" outlineLevel="1" ht="52" customHeight="1">
      <c r="A124" s="10" t="inlineStr">
        <is>
          <t>F-0123</t>
        </is>
      </c>
      <c r="B124" s="10" t="inlineStr">
        <is>
          <t>Cron</t>
        </is>
      </c>
      <c r="C124" s="10" t="inlineStr">
        <is>
          <t>job-041 brain-sync-canary-silent</t>
        </is>
      </c>
      <c r="D124" s="10" t="inlineStr">
        <is>
          <t>Manifest capability</t>
        </is>
      </c>
      <c r="E124" s="10" t="inlineStr">
        <is>
          <t>As a Kurultai operator, I want job-041 brain-sync-canary-silent so that the system behaves predictably and safely.</t>
        </is>
      </c>
      <c r="F124" s="10" t="inlineStr">
        <is>
          <t>Honor the declared interval 30 minutes schedule, delivery policy, and skill metadata; never create the job when its referenced script is absent.</t>
        </is>
      </c>
      <c r="G124" s="10" t="inlineStr">
        <is>
          <t>config/runtime-config/cron.manifest.json</t>
        </is>
      </c>
      <c r="H124" s="10" t="inlineStr">
        <is>
          <t>test_cron_manifest_has_valid_unique_jobs_and_reconciliation_for_every_entry</t>
        </is>
      </c>
      <c r="I124" s="10" t="inlineStr">
        <is>
          <t>Blocked: missing script</t>
        </is>
      </c>
      <c r="J124" s="10" t="inlineStr">
        <is>
          <t>Yes</t>
        </is>
      </c>
      <c r="K124" s="10" t="inlineStr">
        <is>
          <t>Missing public script: brain_sync_canary.py</t>
        </is>
      </c>
    </row>
    <row r="125" outlineLevel="1" ht="52" customHeight="1">
      <c r="A125" s="10" t="inlineStr">
        <is>
          <t>F-0124</t>
        </is>
      </c>
      <c r="B125" s="10" t="inlineStr">
        <is>
          <t>Cron</t>
        </is>
      </c>
      <c r="C125" s="10" t="inlineStr">
        <is>
          <t>job-042 ops-repo-drift-canary-silent</t>
        </is>
      </c>
      <c r="D125" s="10" t="inlineStr">
        <is>
          <t>Manifest capability</t>
        </is>
      </c>
      <c r="E125" s="10" t="inlineStr">
        <is>
          <t>As a Kurultai operator, I want job-042 ops-repo-drift-canary-silent so that the system behaves predictably and safely.</t>
        </is>
      </c>
      <c r="F125" s="10" t="inlineStr">
        <is>
          <t>Honor the declared interval 30 minutes schedule, delivery policy, and skill metadata; never create the job when its referenced script is absent.</t>
        </is>
      </c>
      <c r="G125" s="10" t="inlineStr">
        <is>
          <t>config/runtime-config/cron.manifest.json</t>
        </is>
      </c>
      <c r="H125" s="10" t="inlineStr">
        <is>
          <t>test_cron_manifest_has_valid_unique_jobs_and_reconciliation_for_every_entry</t>
        </is>
      </c>
      <c r="I125" s="10" t="inlineStr">
        <is>
          <t>Blocked: missing script</t>
        </is>
      </c>
      <c r="J125" s="10" t="inlineStr">
        <is>
          <t>Yes</t>
        </is>
      </c>
      <c r="K125" s="10" t="inlineStr">
        <is>
          <t>Missing public script: ops_repo_drift_canary.py</t>
        </is>
      </c>
    </row>
    <row r="126" outlineLevel="1" ht="52" customHeight="1">
      <c r="A126" s="10" t="inlineStr">
        <is>
          <t>F-0125</t>
        </is>
      </c>
      <c r="B126" s="10" t="inlineStr">
        <is>
          <t>Cron</t>
        </is>
      </c>
      <c r="C126" s="10" t="inlineStr">
        <is>
          <t>job-043 hermes-atlas-newsletter-monitor</t>
        </is>
      </c>
      <c r="D126" s="10" t="inlineStr">
        <is>
          <t>Manifest capability</t>
        </is>
      </c>
      <c r="E126" s="10" t="inlineStr">
        <is>
          <t>As a Kurultai operator, I want job-043 hermes-atlas-newsletter-monitor so that the system behaves predictably and safely.</t>
        </is>
      </c>
      <c r="F126" s="10" t="inlineStr">
        <is>
          <t>Honor the declared cron 0 13 * * * schedule, delivery policy, and skill metadata; never create the job when its referenced script is absent.</t>
        </is>
      </c>
      <c r="G126" s="10" t="inlineStr">
        <is>
          <t>config/runtime-config/cron.manifest.json</t>
        </is>
      </c>
      <c r="H126" s="10" t="inlineStr">
        <is>
          <t>test_cron_manifest_has_valid_unique_jobs_and_reconciliation_for_every_entry</t>
        </is>
      </c>
      <c r="I126" s="10" t="inlineStr">
        <is>
          <t>Blocked: missing script</t>
        </is>
      </c>
      <c r="J126" s="10" t="inlineStr">
        <is>
          <t>Yes</t>
        </is>
      </c>
      <c r="K126" s="10" t="inlineStr">
        <is>
          <t>Missing public script: hermes_atlas_monitor.py</t>
        </is>
      </c>
    </row>
    <row r="127" outlineLevel="1" ht="52" customHeight="1">
      <c r="A127" s="10" t="inlineStr">
        <is>
          <t>F-0126</t>
        </is>
      </c>
      <c r="B127" s="10" t="inlineStr">
        <is>
          <t>Cron</t>
        </is>
      </c>
      <c r="C127" s="10" t="inlineStr">
        <is>
          <t>job-044 weather-strategy-lab-caretaker</t>
        </is>
      </c>
      <c r="D127" s="10" t="inlineStr">
        <is>
          <t>Manifest capability</t>
        </is>
      </c>
      <c r="E127" s="10" t="inlineStr">
        <is>
          <t>As a Kurultai operator, I want job-044 weather-strategy-lab-caretaker so that the system behaves predictably and safely.</t>
        </is>
      </c>
      <c r="F127" s="10" t="inlineStr">
        <is>
          <t>Honor the declared interval 360 minutes schedule, delivery policy, and skill metadata; never create the job when its referenced script is absent.</t>
        </is>
      </c>
      <c r="G127" s="10" t="inlineStr">
        <is>
          <t>config/runtime-config/cron.manifest.json</t>
        </is>
      </c>
      <c r="H127" s="10" t="inlineStr">
        <is>
          <t>test_cron_manifest_has_valid_unique_jobs_and_reconciliation_for_every_entry</t>
        </is>
      </c>
      <c r="I127" s="10" t="inlineStr">
        <is>
          <t>Blocked: missing script</t>
        </is>
      </c>
      <c r="J127" s="10" t="inlineStr">
        <is>
          <t>Yes</t>
        </is>
      </c>
      <c r="K127" s="10" t="inlineStr">
        <is>
          <t>Missing public script: weather_strategy_lab_context.py</t>
        </is>
      </c>
    </row>
    <row r="128" outlineLevel="1" ht="52" customHeight="1">
      <c r="A128" s="10" t="inlineStr">
        <is>
          <t>F-0127</t>
        </is>
      </c>
      <c r="B128" s="10" t="inlineStr">
        <is>
          <t>Cron</t>
        </is>
      </c>
      <c r="C128" s="10" t="inlineStr">
        <is>
          <t>job-045 batu-x-watchlist-scout</t>
        </is>
      </c>
      <c r="D128" s="10" t="inlineStr">
        <is>
          <t>Manifest capability</t>
        </is>
      </c>
      <c r="E128" s="10" t="inlineStr">
        <is>
          <t>As a Kurultai operator, I want job-045 batu-x-watchlist-scout so that the system behaves predictably and safely.</t>
        </is>
      </c>
      <c r="F128" s="10" t="inlineStr">
        <is>
          <t>Honor the declared interval 360 minutes schedule, delivery policy, and skill metadata; never create the job when its referenced script is absent.</t>
        </is>
      </c>
      <c r="G128" s="10" t="inlineStr">
        <is>
          <t>config/runtime-config/cron.manifest.json</t>
        </is>
      </c>
      <c r="H128" s="10" t="inlineStr">
        <is>
          <t>test_cron_manifest_has_valid_unique_jobs_and_reconciliation_for_every_entry</t>
        </is>
      </c>
      <c r="I128" s="10" t="inlineStr">
        <is>
          <t>Blocked: missing script</t>
        </is>
      </c>
      <c r="J128" s="10" t="inlineStr">
        <is>
          <t>Yes</t>
        </is>
      </c>
      <c r="K128" s="10" t="inlineStr">
        <is>
          <t>Missing public script: batu_x_watchlist_scout.py</t>
        </is>
      </c>
    </row>
    <row r="129" outlineLevel="1" ht="52" customHeight="1">
      <c r="A129" s="10" t="inlineStr">
        <is>
          <t>F-0128</t>
        </is>
      </c>
      <c r="B129" s="10" t="inlineStr">
        <is>
          <t>Cron</t>
        </is>
      </c>
      <c r="C129" s="10" t="inlineStr">
        <is>
          <t>job-046 batu-x-watchlist-research-dispatch</t>
        </is>
      </c>
      <c r="D129" s="10" t="inlineStr">
        <is>
          <t>Manifest capability</t>
        </is>
      </c>
      <c r="E129" s="10" t="inlineStr">
        <is>
          <t>As a Kurultai operator, I want job-046 batu-x-watchlist-research-dispatch so that the system behaves predictably and safely.</t>
        </is>
      </c>
      <c r="F129" s="10" t="inlineStr">
        <is>
          <t>Honor the declared interval 30 minutes schedule, delivery policy, and skill metadata; never create the job when its referenced script is absent.</t>
        </is>
      </c>
      <c r="G129" s="10" t="inlineStr">
        <is>
          <t>config/runtime-config/cron.manifest.json</t>
        </is>
      </c>
      <c r="H129" s="10" t="inlineStr">
        <is>
          <t>test_cron_manifest_has_valid_unique_jobs_and_reconciliation_for_every_entry</t>
        </is>
      </c>
      <c r="I129" s="10" t="inlineStr">
        <is>
          <t>Blocked: missing script</t>
        </is>
      </c>
      <c r="J129" s="10" t="inlineStr">
        <is>
          <t>Yes</t>
        </is>
      </c>
      <c r="K129" s="10" t="inlineStr">
        <is>
          <t>Missing public script: batu_x_watchlist_research_dispatch.py</t>
        </is>
      </c>
    </row>
    <row r="130" outlineLevel="1" ht="52" customHeight="1">
      <c r="A130" s="10" t="inlineStr">
        <is>
          <t>F-0129</t>
        </is>
      </c>
      <c r="B130" s="10" t="inlineStr">
        <is>
          <t>Cron</t>
        </is>
      </c>
      <c r="C130" s="10" t="inlineStr">
        <is>
          <t>job-047 batu-x-bookmark-scout</t>
        </is>
      </c>
      <c r="D130" s="10" t="inlineStr">
        <is>
          <t>Manifest capability</t>
        </is>
      </c>
      <c r="E130" s="10" t="inlineStr">
        <is>
          <t>As a Kurultai operator, I want job-047 batu-x-bookmark-scout so that the system behaves predictably and safely.</t>
        </is>
      </c>
      <c r="F130" s="10" t="inlineStr">
        <is>
          <t>Honor the declared interval 60 minutes schedule, delivery policy, and skill metadata; never create the job when its referenced script is absent.</t>
        </is>
      </c>
      <c r="G130" s="10" t="inlineStr">
        <is>
          <t>config/runtime-config/cron.manifest.json</t>
        </is>
      </c>
      <c r="H130" s="10" t="inlineStr">
        <is>
          <t>test_cron_manifest_has_valid_unique_jobs_and_reconciliation_for_every_entry</t>
        </is>
      </c>
      <c r="I130" s="10" t="inlineStr">
        <is>
          <t>Blocked: missing script</t>
        </is>
      </c>
      <c r="J130" s="10" t="inlineStr">
        <is>
          <t>Yes</t>
        </is>
      </c>
      <c r="K130" s="10" t="inlineStr">
        <is>
          <t>Missing public script: batu_x_bookmark_scout.py</t>
        </is>
      </c>
    </row>
    <row r="131" outlineLevel="1" ht="52" customHeight="1">
      <c r="A131" s="10" t="inlineStr">
        <is>
          <t>F-0130</t>
        </is>
      </c>
      <c r="B131" s="10" t="inlineStr">
        <is>
          <t>Cron</t>
        </is>
      </c>
      <c r="C131" s="10" t="inlineStr">
        <is>
          <t>job-048 batu-x-bookmark-research-dispatch</t>
        </is>
      </c>
      <c r="D131" s="10" t="inlineStr">
        <is>
          <t>Manifest capability</t>
        </is>
      </c>
      <c r="E131" s="10" t="inlineStr">
        <is>
          <t>As a Kurultai operator, I want job-048 batu-x-bookmark-research-dispatch so that the system behaves predictably and safely.</t>
        </is>
      </c>
      <c r="F131" s="10" t="inlineStr">
        <is>
          <t>Honor the declared interval 30 minutes schedule, delivery policy, and skill metadata; never create the job when its referenced script is absent.</t>
        </is>
      </c>
      <c r="G131" s="10" t="inlineStr">
        <is>
          <t>config/runtime-config/cron.manifest.json</t>
        </is>
      </c>
      <c r="H131" s="10" t="inlineStr">
        <is>
          <t>test_cron_manifest_has_valid_unique_jobs_and_reconciliation_for_every_entry</t>
        </is>
      </c>
      <c r="I131" s="10" t="inlineStr">
        <is>
          <t>Blocked: missing script</t>
        </is>
      </c>
      <c r="J131" s="10" t="inlineStr">
        <is>
          <t>Yes</t>
        </is>
      </c>
      <c r="K131" s="10" t="inlineStr">
        <is>
          <t>Missing public script: batu_x_bookmark_research_dispatch.py</t>
        </is>
      </c>
    </row>
    <row r="132" outlineLevel="1" ht="52" customHeight="1">
      <c r="A132" s="10" t="inlineStr">
        <is>
          <t>F-0131</t>
        </is>
      </c>
      <c r="B132" s="10" t="inlineStr">
        <is>
          <t>Cron</t>
        </is>
      </c>
      <c r="C132" s="10" t="inlineStr">
        <is>
          <t>job-049 batu-grok-x-research-canary</t>
        </is>
      </c>
      <c r="D132" s="10" t="inlineStr">
        <is>
          <t>Manifest capability</t>
        </is>
      </c>
      <c r="E132" s="10" t="inlineStr">
        <is>
          <t>As a Kurultai operator, I want job-049 batu-grok-x-research-canary so that the system behaves predictably and safely.</t>
        </is>
      </c>
      <c r="F132" s="10" t="inlineStr">
        <is>
          <t>Honor the declared cron 25 7 * * * schedule, delivery policy, and skill metadata; never create the job when its referenced script is absent.</t>
        </is>
      </c>
      <c r="G132" s="10" t="inlineStr">
        <is>
          <t>config/runtime-config/cron.manifest.json</t>
        </is>
      </c>
      <c r="H132" s="10" t="inlineStr">
        <is>
          <t>test_cron_manifest_has_valid_unique_jobs_and_reconciliation_for_every_entry</t>
        </is>
      </c>
      <c r="I132" s="10" t="inlineStr">
        <is>
          <t>Blocked: missing script</t>
        </is>
      </c>
      <c r="J132" s="10" t="inlineStr">
        <is>
          <t>Yes</t>
        </is>
      </c>
      <c r="K132" s="10" t="inlineStr">
        <is>
          <t>Missing public script: batu_grok_x_research_canary.py</t>
        </is>
      </c>
    </row>
    <row r="133" outlineLevel="1" ht="52" customHeight="1">
      <c r="A133" s="10" t="inlineStr">
        <is>
          <t>F-0132</t>
        </is>
      </c>
      <c r="B133" s="10" t="inlineStr">
        <is>
          <t>Cron</t>
        </is>
      </c>
      <c r="C133" s="10" t="inlineStr">
        <is>
          <t>job-050 cron-human-intervention-watchdog</t>
        </is>
      </c>
      <c r="D133" s="10" t="inlineStr">
        <is>
          <t>Manifest capability</t>
        </is>
      </c>
      <c r="E133" s="10" t="inlineStr">
        <is>
          <t>As a Kurultai operator, I want job-050 cron-human-intervention-watchdog so that the system behaves predictably and safely.</t>
        </is>
      </c>
      <c r="F133" s="10" t="inlineStr">
        <is>
          <t>Honor the declared interval 30 minutes schedule, delivery policy, and skill metadata; never create the job when its referenced script is absent.</t>
        </is>
      </c>
      <c r="G133" s="10" t="inlineStr">
        <is>
          <t>config/runtime-config/cron.manifest.json</t>
        </is>
      </c>
      <c r="H133" s="10" t="inlineStr">
        <is>
          <t>test_cron_manifest_has_valid_unique_jobs_and_reconciliation_for_every_entry</t>
        </is>
      </c>
      <c r="I133" s="10" t="inlineStr">
        <is>
          <t>Blocked: missing script</t>
        </is>
      </c>
      <c r="J133" s="10" t="inlineStr">
        <is>
          <t>Yes</t>
        </is>
      </c>
      <c r="K133" s="10" t="inlineStr">
        <is>
          <t>Missing public script: cron_human_intervention_watchdog.py</t>
        </is>
      </c>
    </row>
    <row r="134" outlineLevel="1" ht="52" customHeight="1">
      <c r="A134" s="10" t="inlineStr">
        <is>
          <t>F-0133</t>
        </is>
      </c>
      <c r="B134" s="10" t="inlineStr">
        <is>
          <t>Cron</t>
        </is>
      </c>
      <c r="C134" s="10" t="inlineStr">
        <is>
          <t>job-051 buildroom-review-gate-monitor</t>
        </is>
      </c>
      <c r="D134" s="10" t="inlineStr">
        <is>
          <t>Manifest capability</t>
        </is>
      </c>
      <c r="E134" s="10" t="inlineStr">
        <is>
          <t>As a Kurultai operator, I want job-051 buildroom-review-gate-monitor so that the system behaves predictably and safely.</t>
        </is>
      </c>
      <c r="F134" s="10" t="inlineStr">
        <is>
          <t>Honor the declared interval 30 minutes schedule, delivery policy, and skill metadata; never create the job when its referenced script is absent.</t>
        </is>
      </c>
      <c r="G134" s="10" t="inlineStr">
        <is>
          <t>config/runtime-config/cron.manifest.json</t>
        </is>
      </c>
      <c r="H134" s="10" t="inlineStr">
        <is>
          <t>test_cron_manifest_has_valid_unique_jobs_and_reconciliation_for_every_entry</t>
        </is>
      </c>
      <c r="I134" s="10" t="inlineStr">
        <is>
          <t>Blocked: missing script</t>
        </is>
      </c>
      <c r="J134" s="10" t="inlineStr">
        <is>
          <t>Yes</t>
        </is>
      </c>
      <c r="K134" s="10" t="inlineStr">
        <is>
          <t>Missing public script: buildroom_review_gate_monitor.py</t>
        </is>
      </c>
    </row>
    <row r="135" outlineLevel="1" ht="52" customHeight="1">
      <c r="A135" s="10" t="inlineStr">
        <is>
          <t>F-0134</t>
        </is>
      </c>
      <c r="B135" s="10" t="inlineStr">
        <is>
          <t>Cron</t>
        </is>
      </c>
      <c r="C135" s="10" t="inlineStr">
        <is>
          <t>job-052 ogedei-orchestrator-canary</t>
        </is>
      </c>
      <c r="D135" s="10" t="inlineStr">
        <is>
          <t>Manifest capability</t>
        </is>
      </c>
      <c r="E135" s="10" t="inlineStr">
        <is>
          <t>As a Kurultai operator, I want job-052 ogedei-orchestrator-canary so that the system behaves predictably and safely.</t>
        </is>
      </c>
      <c r="F135" s="10" t="inlineStr">
        <is>
          <t>Honor the declared interval 30 minutes schedule, delivery policy, and skill metadata; never create the job when its referenced script is absent.</t>
        </is>
      </c>
      <c r="G135" s="10" t="inlineStr">
        <is>
          <t>config/runtime-config/cron.manifest.json</t>
        </is>
      </c>
      <c r="H135" s="10" t="inlineStr">
        <is>
          <t>test_cron_manifest_has_valid_unique_jobs_and_reconciliation_for_every_entry</t>
        </is>
      </c>
      <c r="I135" s="10" t="inlineStr">
        <is>
          <t>Blocked: missing script</t>
        </is>
      </c>
      <c r="J135" s="10" t="inlineStr">
        <is>
          <t>Yes</t>
        </is>
      </c>
      <c r="K135" s="10" t="inlineStr">
        <is>
          <t>Missing public script: ogedei_orchestrator_canary.py</t>
        </is>
      </c>
    </row>
    <row r="136" outlineLevel="1" ht="52" customHeight="1">
      <c r="A136" s="10" t="inlineStr">
        <is>
          <t>F-0135</t>
        </is>
      </c>
      <c r="B136" s="10" t="inlineStr">
        <is>
          <t>Cron</t>
        </is>
      </c>
      <c r="C136" s="10" t="inlineStr">
        <is>
          <t>job-053 ogedei-orchestrator-optimizer</t>
        </is>
      </c>
      <c r="D136" s="10" t="inlineStr">
        <is>
          <t>Manifest capability</t>
        </is>
      </c>
      <c r="E136" s="10" t="inlineStr">
        <is>
          <t>As a Kurultai operator, I want job-053 ogedei-orchestrator-optimizer so that the system behaves predictably and safely.</t>
        </is>
      </c>
      <c r="F136" s="10" t="inlineStr">
        <is>
          <t>Honor the declared interval 360 minutes schedule, delivery policy, and skill metadata; never create the job when its referenced script is absent.</t>
        </is>
      </c>
      <c r="G136" s="10" t="inlineStr">
        <is>
          <t>config/runtime-config/cron.manifest.json</t>
        </is>
      </c>
      <c r="H136" s="10" t="inlineStr">
        <is>
          <t>test_cron_manifest_has_valid_unique_jobs_and_reconciliation_for_every_entry</t>
        </is>
      </c>
      <c r="I136" s="10" t="inlineStr">
        <is>
          <t>Blocked: missing script</t>
        </is>
      </c>
      <c r="J136" s="10" t="inlineStr">
        <is>
          <t>Yes</t>
        </is>
      </c>
      <c r="K136" s="10" t="inlineStr">
        <is>
          <t>Missing public script: ogedei_orchestrator_optimizer.py</t>
        </is>
      </c>
    </row>
    <row r="137" outlineLevel="1" ht="52" customHeight="1">
      <c r="A137" s="10" t="inlineStr">
        <is>
          <t>F-0136</t>
        </is>
      </c>
      <c r="B137" s="10" t="inlineStr">
        <is>
          <t>Cron</t>
        </is>
      </c>
      <c r="C137" s="10" t="inlineStr">
        <is>
          <t>job-054 kanban-performance-metrics</t>
        </is>
      </c>
      <c r="D137" s="10" t="inlineStr">
        <is>
          <t>Manifest capability</t>
        </is>
      </c>
      <c r="E137" s="10" t="inlineStr">
        <is>
          <t>As a Kurultai operator, I want job-054 kanban-performance-metrics so that the system behaves predictably and safely.</t>
        </is>
      </c>
      <c r="F137" s="10" t="inlineStr">
        <is>
          <t>Honor the declared interval 360 minutes schedule, delivery policy, and skill metadata; never create the job when its referenced script is absent.</t>
        </is>
      </c>
      <c r="G137" s="10" t="inlineStr">
        <is>
          <t>config/runtime-config/cron.manifest.json</t>
        </is>
      </c>
      <c r="H137" s="10" t="inlineStr">
        <is>
          <t>test_cron_manifest_has_valid_unique_jobs_and_reconciliation_for_every_entry</t>
        </is>
      </c>
      <c r="I137" s="10" t="inlineStr">
        <is>
          <t>Blocked: missing script</t>
        </is>
      </c>
      <c r="J137" s="10" t="inlineStr">
        <is>
          <t>Yes</t>
        </is>
      </c>
      <c r="K137" s="10" t="inlineStr">
        <is>
          <t>Missing public script: kanban_performance_metrics_cron.py</t>
        </is>
      </c>
    </row>
    <row r="138" outlineLevel="1" ht="52" customHeight="1">
      <c r="A138" s="10" t="inlineStr">
        <is>
          <t>F-0137</t>
        </is>
      </c>
      <c r="B138" s="10" t="inlineStr">
        <is>
          <t>Cron</t>
        </is>
      </c>
      <c r="C138" s="10" t="inlineStr">
        <is>
          <t>job-055 batu-x-signal-research-dispatch</t>
        </is>
      </c>
      <c r="D138" s="10" t="inlineStr">
        <is>
          <t>Manifest capability</t>
        </is>
      </c>
      <c r="E138" s="10" t="inlineStr">
        <is>
          <t>As a Kurultai operator, I want job-055 batu-x-signal-research-dispatch so that the system behaves predictably and safely.</t>
        </is>
      </c>
      <c r="F138" s="10" t="inlineStr">
        <is>
          <t>Honor the declared interval 30 minutes schedule, delivery policy, and skill metadata; never create the job when its referenced script is absent.</t>
        </is>
      </c>
      <c r="G138" s="10" t="inlineStr">
        <is>
          <t>config/runtime-config/cron.manifest.json</t>
        </is>
      </c>
      <c r="H138" s="10" t="inlineStr">
        <is>
          <t>test_cron_manifest_has_valid_unique_jobs_and_reconciliation_for_every_entry</t>
        </is>
      </c>
      <c r="I138" s="10" t="inlineStr">
        <is>
          <t>Blocked: missing script</t>
        </is>
      </c>
      <c r="J138" s="10" t="inlineStr">
        <is>
          <t>Yes</t>
        </is>
      </c>
      <c r="K138" s="10" t="inlineStr">
        <is>
          <t>Missing public script: batu_x_signal_research_dispatch.py</t>
        </is>
      </c>
    </row>
    <row r="139" outlineLevel="1" ht="52" customHeight="1">
      <c r="A139" s="10" t="inlineStr">
        <is>
          <t>F-0138</t>
        </is>
      </c>
      <c r="B139" s="10" t="inlineStr">
        <is>
          <t>Cron</t>
        </is>
      </c>
      <c r="C139" s="10" t="inlineStr">
        <is>
          <t>job-056 research-proposal-compiler</t>
        </is>
      </c>
      <c r="D139" s="10" t="inlineStr">
        <is>
          <t>Manifest capability</t>
        </is>
      </c>
      <c r="E139" s="10" t="inlineStr">
        <is>
          <t>As a Kurultai operator, I want job-056 research-proposal-compiler so that the system behaves predictably and safely.</t>
        </is>
      </c>
      <c r="F139" s="10" t="inlineStr">
        <is>
          <t>Honor the declared interval 360 minutes schedule, delivery policy, and skill metadata; never create the job when its referenced script is absent.</t>
        </is>
      </c>
      <c r="G139" s="10" t="inlineStr">
        <is>
          <t>config/runtime-config/cron.manifest.json</t>
        </is>
      </c>
      <c r="H139" s="10" t="inlineStr">
        <is>
          <t>test_cron_manifest_has_valid_unique_jobs_and_reconciliation_for_every_entry</t>
        </is>
      </c>
      <c r="I139" s="10" t="inlineStr">
        <is>
          <t>Blocked: missing script</t>
        </is>
      </c>
      <c r="J139" s="10" t="inlineStr">
        <is>
          <t>Yes</t>
        </is>
      </c>
      <c r="K139" s="10" t="inlineStr">
        <is>
          <t>Missing public script: research_proposal_compiler_cron.py</t>
        </is>
      </c>
    </row>
    <row r="140" outlineLevel="1" ht="52" customHeight="1">
      <c r="A140" s="10" t="inlineStr">
        <is>
          <t>F-0139</t>
        </is>
      </c>
      <c r="B140" s="10" t="inlineStr">
        <is>
          <t>Cron</t>
        </is>
      </c>
      <c r="C140" s="10" t="inlineStr">
        <is>
          <t>job-057 research-control-room</t>
        </is>
      </c>
      <c r="D140" s="10" t="inlineStr">
        <is>
          <t>Manifest capability</t>
        </is>
      </c>
      <c r="E140" s="10" t="inlineStr">
        <is>
          <t>As a Kurultai operator, I want job-057 research-control-room so that the system behaves predictably and safely.</t>
        </is>
      </c>
      <c r="F140" s="10" t="inlineStr">
        <is>
          <t>Honor the declared interval 180 minutes schedule, delivery policy, and skill metadata; never create the job when its referenced script is absent.</t>
        </is>
      </c>
      <c r="G140" s="10" t="inlineStr">
        <is>
          <t>config/runtime-config/cron.manifest.json</t>
        </is>
      </c>
      <c r="H140" s="10" t="inlineStr">
        <is>
          <t>test_cron_manifest_has_valid_unique_jobs_and_reconciliation_for_every_entry</t>
        </is>
      </c>
      <c r="I140" s="10" t="inlineStr">
        <is>
          <t>Blocked: missing script</t>
        </is>
      </c>
      <c r="J140" s="10" t="inlineStr">
        <is>
          <t>Yes</t>
        </is>
      </c>
      <c r="K140" s="10" t="inlineStr">
        <is>
          <t>Missing public script: research_control_room_cron.py</t>
        </is>
      </c>
    </row>
    <row r="141" outlineLevel="1" ht="52" customHeight="1">
      <c r="A141" s="10" t="inlineStr">
        <is>
          <t>F-0140</t>
        </is>
      </c>
      <c r="B141" s="10" t="inlineStr">
        <is>
          <t>Cron</t>
        </is>
      </c>
      <c r="C141" s="10" t="inlineStr">
        <is>
          <t>job-058 kanban-jam-classifier</t>
        </is>
      </c>
      <c r="D141" s="10" t="inlineStr">
        <is>
          <t>Manifest capability</t>
        </is>
      </c>
      <c r="E141" s="10" t="inlineStr">
        <is>
          <t>As a Kurultai operator, I want job-058 kanban-jam-classifier so that the system behaves predictably and safely.</t>
        </is>
      </c>
      <c r="F141" s="10" t="inlineStr">
        <is>
          <t>Honor the declared interval 1 minutes schedule, delivery policy, and skill metadata; never create the job when its referenced script is absent.</t>
        </is>
      </c>
      <c r="G141" s="10" t="inlineStr">
        <is>
          <t>config/runtime-config/cron.manifest.json</t>
        </is>
      </c>
      <c r="H141" s="10" t="inlineStr">
        <is>
          <t>test_cron_manifest_has_valid_unique_jobs_and_reconciliation_for_every_entry</t>
        </is>
      </c>
      <c r="I141" s="10" t="inlineStr">
        <is>
          <t>Blocked: missing script</t>
        </is>
      </c>
      <c r="J141" s="10" t="inlineStr">
        <is>
          <t>Yes</t>
        </is>
      </c>
      <c r="K141" s="10" t="inlineStr">
        <is>
          <t>Missing public script: kanban_jam_classifier.py</t>
        </is>
      </c>
    </row>
    <row r="142" outlineLevel="1" ht="52" customHeight="1">
      <c r="A142" s="10" t="inlineStr">
        <is>
          <t>F-0141</t>
        </is>
      </c>
      <c r="B142" s="10" t="inlineStr">
        <is>
          <t>Cron</t>
        </is>
      </c>
      <c r="C142" s="10" t="inlineStr">
        <is>
          <t>job-059 operator-x-bookmark-taste-profile</t>
        </is>
      </c>
      <c r="D142" s="10" t="inlineStr">
        <is>
          <t>Manifest capability</t>
        </is>
      </c>
      <c r="E142" s="10" t="inlineStr">
        <is>
          <t>As a Kurultai operator, I want job-059 operator-x-bookmark-taste-profile so that the system behaves predictably and safely.</t>
        </is>
      </c>
      <c r="F142" s="10" t="inlineStr">
        <is>
          <t>Honor the declared interval 360 minutes schedule, delivery policy, and skill metadata; never create the job when its referenced script is absent.</t>
        </is>
      </c>
      <c r="G142" s="10" t="inlineStr">
        <is>
          <t>config/runtime-config/cron.manifest.json</t>
        </is>
      </c>
      <c r="H142" s="10" t="inlineStr">
        <is>
          <t>test_cron_manifest_has_valid_unique_jobs_and_reconciliation_for_every_entry</t>
        </is>
      </c>
      <c r="I142" s="10" t="inlineStr">
        <is>
          <t>Blocked: missing script</t>
        </is>
      </c>
      <c r="J142" s="10" t="inlineStr">
        <is>
          <t>Yes</t>
        </is>
      </c>
      <c r="K142" s="10" t="inlineStr">
        <is>
          <t>Missing public script: operator_x_bookmark_taste_profile.py</t>
        </is>
      </c>
    </row>
    <row r="143" outlineLevel="1" ht="52" customHeight="1">
      <c r="A143" s="10" t="inlineStr">
        <is>
          <t>F-0142</t>
        </is>
      </c>
      <c r="B143" s="10" t="inlineStr">
        <is>
          <t>Cron</t>
        </is>
      </c>
      <c r="C143" s="10" t="inlineStr">
        <is>
          <t>job-060 agi-harness-observe-propose</t>
        </is>
      </c>
      <c r="D143" s="10" t="inlineStr">
        <is>
          <t>Manifest capability</t>
        </is>
      </c>
      <c r="E143" s="10" t="inlineStr">
        <is>
          <t>As a Kurultai operator, I want job-060 agi-harness-observe-propose so that the system behaves predictably and safely.</t>
        </is>
      </c>
      <c r="F143" s="10" t="inlineStr">
        <is>
          <t>Honor the declared interval 60 minutes schedule, delivery policy, and skill metadata; never create the job when its referenced script is absent.</t>
        </is>
      </c>
      <c r="G143" s="10" t="inlineStr">
        <is>
          <t>config/runtime-config/cron.manifest.json</t>
        </is>
      </c>
      <c r="H143" s="10" t="inlineStr">
        <is>
          <t>test_cron_manifest_has_valid_unique_jobs_and_reconciliation_for_every_entry</t>
        </is>
      </c>
      <c r="I143" s="10" t="inlineStr">
        <is>
          <t>Blocked: missing script</t>
        </is>
      </c>
      <c r="J143" s="10" t="inlineStr">
        <is>
          <t>Yes</t>
        </is>
      </c>
      <c r="K143" s="10" t="inlineStr">
        <is>
          <t>Missing public script: agi_harness_observe_propose_tick.py</t>
        </is>
      </c>
    </row>
    <row r="144" outlineLevel="1" ht="52" customHeight="1">
      <c r="A144" s="10" t="inlineStr">
        <is>
          <t>F-0143</t>
        </is>
      </c>
      <c r="B144" s="10" t="inlineStr">
        <is>
          <t>Cron</t>
        </is>
      </c>
      <c r="C144" s="10" t="inlineStr">
        <is>
          <t>job-061 Parse production quiet canary</t>
        </is>
      </c>
      <c r="D144" s="10" t="inlineStr">
        <is>
          <t>Manifest capability</t>
        </is>
      </c>
      <c r="E144" s="10" t="inlineStr">
        <is>
          <t>As a Kurultai operator, I want job-061 parse production quiet canary so that the system behaves predictably and safely.</t>
        </is>
      </c>
      <c r="F144" s="10" t="inlineStr">
        <is>
          <t>Honor the declared cron */30 * * * * schedule, delivery policy, and skill metadata; never create the job when its referenced script is absent.</t>
        </is>
      </c>
      <c r="G144" s="10" t="inlineStr">
        <is>
          <t>config/runtime-config/cron.manifest.json</t>
        </is>
      </c>
      <c r="H144" s="10" t="inlineStr">
        <is>
          <t>test_cron_manifest_has_valid_unique_jobs_and_reconciliation_for_every_entry</t>
        </is>
      </c>
      <c r="I144" s="10" t="inlineStr">
        <is>
          <t>Blocked: missing script</t>
        </is>
      </c>
      <c r="J144" s="10" t="inlineStr">
        <is>
          <t>Yes</t>
        </is>
      </c>
      <c r="K144" s="10" t="inlineStr">
        <is>
          <t>Missing public script: parse_production_canary.py</t>
        </is>
      </c>
    </row>
    <row r="145" outlineLevel="1" ht="52" customHeight="1">
      <c r="A145" s="10" t="inlineStr">
        <is>
          <t>F-0144</t>
        </is>
      </c>
      <c r="B145" s="10" t="inlineStr">
        <is>
          <t>Cron</t>
        </is>
      </c>
      <c r="C145" s="10" t="inlineStr">
        <is>
          <t>job-062 Parse admin anomaly watchdog</t>
        </is>
      </c>
      <c r="D145" s="10" t="inlineStr">
        <is>
          <t>Manifest capability</t>
        </is>
      </c>
      <c r="E145" s="10" t="inlineStr">
        <is>
          <t>As a Kurultai operator, I want job-062 parse admin anomaly watchdog so that the system behaves predictably and safely.</t>
        </is>
      </c>
      <c r="F145" s="10" t="inlineStr">
        <is>
          <t>Honor the declared interval 60 minutes schedule, delivery policy, and skill metadata; never create the job when its referenced script is absent.</t>
        </is>
      </c>
      <c r="G145" s="10" t="inlineStr">
        <is>
          <t>config/runtime-config/cron.manifest.json</t>
        </is>
      </c>
      <c r="H145" s="10" t="inlineStr">
        <is>
          <t>test_cron_manifest_has_valid_unique_jobs_and_reconciliation_for_every_entry</t>
        </is>
      </c>
      <c r="I145" s="10" t="inlineStr">
        <is>
          <t>Blocked: missing script</t>
        </is>
      </c>
      <c r="J145" s="10" t="inlineStr">
        <is>
          <t>Yes</t>
        </is>
      </c>
      <c r="K145" s="10" t="inlineStr">
        <is>
          <t>Missing public script: parse_admin_anomaly_watch.py</t>
        </is>
      </c>
    </row>
    <row r="146" outlineLevel="1" ht="52" customHeight="1">
      <c r="A146" s="10" t="inlineStr">
        <is>
          <t>F-0145</t>
        </is>
      </c>
      <c r="B146" s="10" t="inlineStr">
        <is>
          <t>Cron</t>
        </is>
      </c>
      <c r="C146" s="10" t="inlineStr">
        <is>
          <t>job-063 Parse admin daily digest</t>
        </is>
      </c>
      <c r="D146" s="10" t="inlineStr">
        <is>
          <t>Manifest capability</t>
        </is>
      </c>
      <c r="E146" s="10" t="inlineStr">
        <is>
          <t>As a Kurultai operator, I want job-063 parse admin daily digest so that the system behaves predictably and safely.</t>
        </is>
      </c>
      <c r="F146" s="10" t="inlineStr">
        <is>
          <t>Honor the declared cron 0 9 * * * schedule, delivery policy, and skill metadata; never create the job when its referenced script is absent.</t>
        </is>
      </c>
      <c r="G146" s="10" t="inlineStr">
        <is>
          <t>config/runtime-config/cron.manifest.json</t>
        </is>
      </c>
      <c r="H146" s="10" t="inlineStr">
        <is>
          <t>test_cron_manifest_has_valid_unique_jobs_and_reconciliation_for_every_entry</t>
        </is>
      </c>
      <c r="I146" s="10" t="inlineStr">
        <is>
          <t>Blocked: missing script</t>
        </is>
      </c>
      <c r="J146" s="10" t="inlineStr">
        <is>
          <t>Yes</t>
        </is>
      </c>
      <c r="K146" s="10" t="inlineStr">
        <is>
          <t>Missing public script: parse_admin_daily_digest.py</t>
        </is>
      </c>
    </row>
    <row r="147" outlineLevel="1" ht="52" customHeight="1">
      <c r="A147" s="10" t="inlineStr">
        <is>
          <t>F-0146</t>
        </is>
      </c>
      <c r="B147" s="10" t="inlineStr">
        <is>
          <t>Cron</t>
        </is>
      </c>
      <c r="C147" s="10" t="inlineStr">
        <is>
          <t>job-064 Parse business state morning report</t>
        </is>
      </c>
      <c r="D147" s="10" t="inlineStr">
        <is>
          <t>Manifest capability</t>
        </is>
      </c>
      <c r="E147" s="10" t="inlineStr">
        <is>
          <t>As a Kurultai operator, I want job-064 parse business state morning report so that the system behaves predictably and safely.</t>
        </is>
      </c>
      <c r="F147" s="10" t="inlineStr">
        <is>
          <t>Honor the declared cron 0 8 * * * schedule, delivery policy, and skill metadata; never create the job when its referenced script is absent.</t>
        </is>
      </c>
      <c r="G147" s="10" t="inlineStr">
        <is>
          <t>config/runtime-config/cron.manifest.json</t>
        </is>
      </c>
      <c r="H147" s="10" t="inlineStr">
        <is>
          <t>test_cron_manifest_has_valid_unique_jobs_and_reconciliation_for_every_entry</t>
        </is>
      </c>
      <c r="I147" s="10" t="inlineStr">
        <is>
          <t>Blocked: missing script</t>
        </is>
      </c>
      <c r="J147" s="10" t="inlineStr">
        <is>
          <t>Yes</t>
        </is>
      </c>
      <c r="K147" s="10" t="inlineStr">
        <is>
          <t>Missing public script: parse_business_state_context.py</t>
        </is>
      </c>
    </row>
    <row r="148" outlineLevel="1" ht="52" customHeight="1">
      <c r="A148" s="10" t="inlineStr">
        <is>
          <t>F-0147</t>
        </is>
      </c>
      <c r="B148" s="10" t="inlineStr">
        <is>
          <t>Cron</t>
        </is>
      </c>
      <c r="C148" s="10" t="inlineStr">
        <is>
          <t>job-065 Parse support email monitor</t>
        </is>
      </c>
      <c r="D148" s="10" t="inlineStr">
        <is>
          <t>Manifest capability</t>
        </is>
      </c>
      <c r="E148" s="10" t="inlineStr">
        <is>
          <t>As a Kurultai operator, I want job-065 parse support email monitor so that the system behaves predictably and safely.</t>
        </is>
      </c>
      <c r="F148" s="10" t="inlineStr">
        <is>
          <t>Honor the declared interval 15 minutes schedule, delivery policy, and skill metadata; never create the job when its referenced script is absent.</t>
        </is>
      </c>
      <c r="G148" s="10" t="inlineStr">
        <is>
          <t>config/runtime-config/cron.manifest.json</t>
        </is>
      </c>
      <c r="H148" s="10" t="inlineStr">
        <is>
          <t>test_cron_manifest_has_valid_unique_jobs_and_reconciliation_for_every_entry</t>
        </is>
      </c>
      <c r="I148" s="10" t="inlineStr">
        <is>
          <t>Blocked: missing script</t>
        </is>
      </c>
      <c r="J148" s="10" t="inlineStr">
        <is>
          <t>Yes</t>
        </is>
      </c>
      <c r="K148" s="10" t="inlineStr">
        <is>
          <t>Missing public script: parse_support_email_monitor.py</t>
        </is>
      </c>
    </row>
    <row r="149" outlineLevel="1" ht="52" customHeight="1">
      <c r="A149" s="10" t="inlineStr">
        <is>
          <t>F-0148</t>
        </is>
      </c>
      <c r="B149" s="10" t="inlineStr">
        <is>
          <t>Cron</t>
        </is>
      </c>
      <c r="C149" s="10" t="inlineStr">
        <is>
          <t>job-066 Parse paid subscription purchase alert</t>
        </is>
      </c>
      <c r="D149" s="10" t="inlineStr">
        <is>
          <t>Manifest capability</t>
        </is>
      </c>
      <c r="E149" s="10" t="inlineStr">
        <is>
          <t>As a Kurultai operator, I want job-066 parse paid subscription purchase alert so that the system behaves predictably and safely.</t>
        </is>
      </c>
      <c r="F149" s="10" t="inlineStr">
        <is>
          <t>Honor the declared interval 10 minutes schedule, delivery policy, and skill metadata; never create the job when its referenced script is absent.</t>
        </is>
      </c>
      <c r="G149" s="10" t="inlineStr">
        <is>
          <t>config/runtime-config/cron.manifest.json</t>
        </is>
      </c>
      <c r="H149" s="10" t="inlineStr">
        <is>
          <t>test_cron_manifest_has_valid_unique_jobs_and_reconciliation_for_every_entry</t>
        </is>
      </c>
      <c r="I149" s="10" t="inlineStr">
        <is>
          <t>Blocked: missing script</t>
        </is>
      </c>
      <c r="J149" s="10" t="inlineStr">
        <is>
          <t>Yes</t>
        </is>
      </c>
      <c r="K149" s="10" t="inlineStr">
        <is>
          <t>Missing public script: parse_paid_subscription_monitor.py</t>
        </is>
      </c>
    </row>
    <row r="150" outlineLevel="1" ht="52" customHeight="1">
      <c r="A150" s="10" t="inlineStr">
        <is>
          <t>F-0149</t>
        </is>
      </c>
      <c r="B150" s="10" t="inlineStr">
        <is>
          <t>Cron</t>
        </is>
      </c>
      <c r="C150" s="10" t="inlineStr">
        <is>
          <t>job-067 Objective Runner autonomous tick</t>
        </is>
      </c>
      <c r="D150" s="10" t="inlineStr">
        <is>
          <t>Manifest capability</t>
        </is>
      </c>
      <c r="E150" s="10" t="inlineStr">
        <is>
          <t>As a Kurultai operator, I want job-067 objective runner autonomous tick so that the system behaves predictably and safely.</t>
        </is>
      </c>
      <c r="F150" s="10" t="inlineStr">
        <is>
          <t>Honor the declared interval 10 minutes schedule, delivery policy, and skill metadata; never create the job when its referenced script is absent.</t>
        </is>
      </c>
      <c r="G150" s="10" t="inlineStr">
        <is>
          <t>config/runtime-config/cron.manifest.json</t>
        </is>
      </c>
      <c r="H150" s="10" t="inlineStr">
        <is>
          <t>test_cron_manifest_has_valid_unique_jobs_and_reconciliation_for_every_entry</t>
        </is>
      </c>
      <c r="I150" s="10" t="inlineStr">
        <is>
          <t>Blocked: missing script</t>
        </is>
      </c>
      <c r="J150" s="10" t="inlineStr">
        <is>
          <t>Yes</t>
        </is>
      </c>
      <c r="K150" s="10" t="inlineStr">
        <is>
          <t>Missing public script: objective_runner_tick.py</t>
        </is>
      </c>
    </row>
    <row r="151" outlineLevel="1" ht="52" customHeight="1">
      <c r="A151" s="10" t="inlineStr">
        <is>
          <t>F-0150</t>
        </is>
      </c>
      <c r="B151" s="10" t="inlineStr">
        <is>
          <t>Cron</t>
        </is>
      </c>
      <c r="C151" s="10" t="inlineStr">
        <is>
          <t>job-068 Dreamer Kanban triage gate</t>
        </is>
      </c>
      <c r="D151" s="10" t="inlineStr">
        <is>
          <t>Manifest capability</t>
        </is>
      </c>
      <c r="E151" s="10" t="inlineStr">
        <is>
          <t>As a Kurultai operator, I want job-068 dreamer kanban triage gate so that the system behaves predictably and safely.</t>
        </is>
      </c>
      <c r="F151" s="10" t="inlineStr">
        <is>
          <t>Honor the declared interval 30 minutes schedule, delivery policy, and skill metadata; never create the job when its referenced script is absent.</t>
        </is>
      </c>
      <c r="G151" s="10" t="inlineStr">
        <is>
          <t>config/runtime-config/cron.manifest.json</t>
        </is>
      </c>
      <c r="H151" s="10" t="inlineStr">
        <is>
          <t>test_cron_manifest_has_valid_unique_jobs_and_reconciliation_for_every_entry</t>
        </is>
      </c>
      <c r="I151" s="10" t="inlineStr">
        <is>
          <t>Blocked: missing script</t>
        </is>
      </c>
      <c r="J151" s="10" t="inlineStr">
        <is>
          <t>Yes</t>
        </is>
      </c>
      <c r="K151" s="10" t="inlineStr">
        <is>
          <t>Missing public script: dreamer_kanban_triage.py</t>
        </is>
      </c>
    </row>
    <row r="152" outlineLevel="1" ht="52" customHeight="1">
      <c r="A152" s="10" t="inlineStr">
        <is>
          <t>F-0151</t>
        </is>
      </c>
      <c r="B152" s="10" t="inlineStr">
        <is>
          <t>Cron</t>
        </is>
      </c>
      <c r="C152" s="10" t="inlineStr">
        <is>
          <t>job-069 kurultai-public-repo-nightly-config-sync</t>
        </is>
      </c>
      <c r="D152" s="10" t="inlineStr">
        <is>
          <t>Manifest capability</t>
        </is>
      </c>
      <c r="E152" s="10" t="inlineStr">
        <is>
          <t>As a Kurultai operator, I want job-069 kurultai-public-repo-nightly-config-sync so that the system behaves predictably and safely.</t>
        </is>
      </c>
      <c r="F152" s="10" t="inlineStr">
        <is>
          <t>Honor the declared cron 17 3 * * * schedule, delivery policy, and skill metadata; never create the job when its referenced script is absent.</t>
        </is>
      </c>
      <c r="G152" s="10" t="inlineStr">
        <is>
          <t>config/runtime-config/cron.manifest.json</t>
        </is>
      </c>
      <c r="H152" s="10" t="inlineStr">
        <is>
          <t>test_cron_manifest_has_valid_unique_jobs_and_reconciliation_for_every_entry</t>
        </is>
      </c>
      <c r="I152" s="10" t="inlineStr">
        <is>
          <t>Contract verified; not installed</t>
        </is>
      </c>
      <c r="J152" s="10" t="inlineStr">
        <is>
          <t>No</t>
        </is>
      </c>
      <c r="K152" s="10" t="inlineStr">
        <is>
          <t>Public contract is valid; runtime creation remains intentionally conservative.</t>
        </is>
      </c>
    </row>
    <row r="153" outlineLevel="1" ht="52" customHeight="1">
      <c r="A153" s="10" t="inlineStr">
        <is>
          <t>F-0152</t>
        </is>
      </c>
      <c r="B153" s="10" t="inlineStr">
        <is>
          <t>Cron</t>
        </is>
      </c>
      <c r="C153" s="10" t="inlineStr">
        <is>
          <t>job-070 Shepherd Ogedei improvement Kanban graph</t>
        </is>
      </c>
      <c r="D153" s="10" t="inlineStr">
        <is>
          <t>Manifest capability</t>
        </is>
      </c>
      <c r="E153" s="10" t="inlineStr">
        <is>
          <t>As a Kurultai operator, I want job-070 shepherd ogedei improvement kanban graph so that the system behaves predictably and safely.</t>
        </is>
      </c>
      <c r="F153" s="10" t="inlineStr">
        <is>
          <t>Honor the declared interval 30 minutes schedule, delivery policy, and skill metadata; never create the job when its referenced script is absent.</t>
        </is>
      </c>
      <c r="G153" s="10" t="inlineStr">
        <is>
          <t>config/runtime-config/cron.manifest.json</t>
        </is>
      </c>
      <c r="H153" s="10" t="inlineStr">
        <is>
          <t>test_cron_manifest_has_valid_unique_jobs_and_reconciliation_for_every_entry</t>
        </is>
      </c>
      <c r="I153" s="10" t="inlineStr">
        <is>
          <t>Contract verified; not installed</t>
        </is>
      </c>
      <c r="J153" s="10" t="inlineStr">
        <is>
          <t>No</t>
        </is>
      </c>
      <c r="K153" s="10" t="inlineStr">
        <is>
          <t>Public contract is valid; runtime creation remains intentionally conservative.</t>
        </is>
      </c>
    </row>
    <row r="154" outlineLevel="1" ht="52" customHeight="1">
      <c r="A154" s="10" t="inlineStr">
        <is>
          <t>F-0153</t>
        </is>
      </c>
      <c r="B154" s="10" t="inlineStr">
        <is>
          <t>Cron</t>
        </is>
      </c>
      <c r="C154" s="10" t="inlineStr">
        <is>
          <t>job-071 Shepherd Kanban review-required semantics graph</t>
        </is>
      </c>
      <c r="D154" s="10" t="inlineStr">
        <is>
          <t>Manifest capability</t>
        </is>
      </c>
      <c r="E154" s="10" t="inlineStr">
        <is>
          <t>As a Kurultai operator, I want job-071 shepherd kanban review-required semantics graph so that the system behaves predictably and safely.</t>
        </is>
      </c>
      <c r="F154" s="10" t="inlineStr">
        <is>
          <t>Honor the declared interval 30 minutes schedule, delivery policy, and skill metadata; never create the job when its referenced script is absent.</t>
        </is>
      </c>
      <c r="G154" s="10" t="inlineStr">
        <is>
          <t>config/runtime-config/cron.manifest.json</t>
        </is>
      </c>
      <c r="H154" s="10" t="inlineStr">
        <is>
          <t>test_cron_manifest_has_valid_unique_jobs_and_reconciliation_for_every_entry</t>
        </is>
      </c>
      <c r="I154" s="10" t="inlineStr">
        <is>
          <t>Contract verified; not installed</t>
        </is>
      </c>
      <c r="J154" s="10" t="inlineStr">
        <is>
          <t>No</t>
        </is>
      </c>
      <c r="K154" s="10" t="inlineStr">
        <is>
          <t>Public contract is valid; runtime creation remains intentionally conservative.</t>
        </is>
      </c>
    </row>
    <row r="155" outlineLevel="1" ht="52" customHeight="1">
      <c r="A155" s="10" t="inlineStr">
        <is>
          <t>F-0154</t>
        </is>
      </c>
      <c r="B155" s="10" t="inlineStr">
        <is>
          <t>Cron</t>
        </is>
      </c>
      <c r="C155" s="10" t="inlineStr">
        <is>
          <t>job-072 shepherd-elon-brain-native-plan</t>
        </is>
      </c>
      <c r="D155" s="10" t="inlineStr">
        <is>
          <t>Manifest capability</t>
        </is>
      </c>
      <c r="E155" s="10" t="inlineStr">
        <is>
          <t>As a Kurultai operator, I want job-072 shepherd-elon-brain-native-plan so that the system behaves predictably and safely.</t>
        </is>
      </c>
      <c r="F155" s="10" t="inlineStr">
        <is>
          <t>Honor the declared interval 30 minutes schedule, delivery policy, and skill metadata; never create the job when its referenced script is absent.</t>
        </is>
      </c>
      <c r="G155" s="10" t="inlineStr">
        <is>
          <t>config/runtime-config/cron.manifest.json</t>
        </is>
      </c>
      <c r="H155" s="10" t="inlineStr">
        <is>
          <t>test_cron_manifest_has_valid_unique_jobs_and_reconciliation_for_every_entry</t>
        </is>
      </c>
      <c r="I155" s="10" t="inlineStr">
        <is>
          <t>Contract verified; not installed</t>
        </is>
      </c>
      <c r="J155" s="10" t="inlineStr">
        <is>
          <t>No</t>
        </is>
      </c>
      <c r="K155" s="10" t="inlineStr">
        <is>
          <t>Public contract is valid; runtime creation remains intentionally conservative.</t>
        </is>
      </c>
    </row>
    <row r="156" outlineLevel="1" ht="52" customHeight="1">
      <c r="A156" s="10" t="inlineStr">
        <is>
          <t>F-0155</t>
        </is>
      </c>
      <c r="B156" s="10" t="inlineStr">
        <is>
          <t>Cron</t>
        </is>
      </c>
      <c r="C156" s="10" t="inlineStr">
        <is>
          <t>job-073 shepherd-p0-kurultai-audit-repairs-20260531</t>
        </is>
      </c>
      <c r="D156" s="10" t="inlineStr">
        <is>
          <t>Manifest capability</t>
        </is>
      </c>
      <c r="E156" s="10" t="inlineStr">
        <is>
          <t>As a Kurultai operator, I want job-073 shepherd-p0-kurultai-audit-repairs-20260531 so that the system behaves predictably and safely.</t>
        </is>
      </c>
      <c r="F156" s="10" t="inlineStr">
        <is>
          <t>Honor the declared interval 15 minutes schedule, delivery policy, and skill metadata; never create the job when its referenced script is absent.</t>
        </is>
      </c>
      <c r="G156" s="10" t="inlineStr">
        <is>
          <t>config/runtime-config/cron.manifest.json</t>
        </is>
      </c>
      <c r="H156" s="10" t="inlineStr">
        <is>
          <t>test_cron_manifest_has_valid_unique_jobs_and_reconciliation_for_every_entry</t>
        </is>
      </c>
      <c r="I156" s="10" t="inlineStr">
        <is>
          <t>Contract verified; not installed</t>
        </is>
      </c>
      <c r="J156" s="10" t="inlineStr">
        <is>
          <t>No</t>
        </is>
      </c>
      <c r="K156" s="10" t="inlineStr">
        <is>
          <t>Public contract is valid; runtime creation remains intentionally conservative.</t>
        </is>
      </c>
    </row>
    <row r="157" outlineLevel="1" ht="52" customHeight="1">
      <c r="A157" s="10" t="inlineStr">
        <is>
          <t>F-0156</t>
        </is>
      </c>
      <c r="B157" s="10" t="inlineStr">
        <is>
          <t>Cron</t>
        </is>
      </c>
      <c r="C157" s="10" t="inlineStr">
        <is>
          <t>job-074 cron-output-retention</t>
        </is>
      </c>
      <c r="D157" s="10" t="inlineStr">
        <is>
          <t>Manifest capability</t>
        </is>
      </c>
      <c r="E157" s="10" t="inlineStr">
        <is>
          <t>As a Kurultai operator, I want job-074 cron-output-retention so that the system behaves predictably and safely.</t>
        </is>
      </c>
      <c r="F157" s="10" t="inlineStr">
        <is>
          <t>Honor the declared interval 30 minutes schedule, delivery policy, and skill metadata; never create the job when its referenced script is absent.</t>
        </is>
      </c>
      <c r="G157" s="10" t="inlineStr">
        <is>
          <t>config/runtime-config/cron.manifest.json</t>
        </is>
      </c>
      <c r="H157" s="10" t="inlineStr">
        <is>
          <t>test_cron_manifest_has_valid_unique_jobs_and_reconciliation_for_every_entry</t>
        </is>
      </c>
      <c r="I157" s="10" t="inlineStr">
        <is>
          <t>Blocked: missing script</t>
        </is>
      </c>
      <c r="J157" s="10" t="inlineStr">
        <is>
          <t>Yes</t>
        </is>
      </c>
      <c r="K157" s="10" t="inlineStr">
        <is>
          <t>Missing public script: cron_output_retention_cron.py</t>
        </is>
      </c>
    </row>
    <row r="158" outlineLevel="1" ht="52" customHeight="1">
      <c r="A158" s="10" t="inlineStr">
        <is>
          <t>F-0157</t>
        </is>
      </c>
      <c r="B158" s="10" t="inlineStr">
        <is>
          <t>Cron</t>
        </is>
      </c>
      <c r="C158" s="10" t="inlineStr">
        <is>
          <t>job-075 shepherd-elon-kurultai-followups</t>
        </is>
      </c>
      <c r="D158" s="10" t="inlineStr">
        <is>
          <t>Manifest capability</t>
        </is>
      </c>
      <c r="E158" s="10" t="inlineStr">
        <is>
          <t>As a Kurultai operator, I want job-075 shepherd-elon-kurultai-followups so that the system behaves predictably and safely.</t>
        </is>
      </c>
      <c r="F158" s="10" t="inlineStr">
        <is>
          <t>Honor the declared interval 30 minutes schedule, delivery policy, and skill metadata; never create the job when its referenced script is absent.</t>
        </is>
      </c>
      <c r="G158" s="10" t="inlineStr">
        <is>
          <t>config/runtime-config/cron.manifest.json</t>
        </is>
      </c>
      <c r="H158" s="10" t="inlineStr">
        <is>
          <t>test_cron_manifest_has_valid_unique_jobs_and_reconciliation_for_every_entry</t>
        </is>
      </c>
      <c r="I158" s="10" t="inlineStr">
        <is>
          <t>Contract verified; not installed</t>
        </is>
      </c>
      <c r="J158" s="10" t="inlineStr">
        <is>
          <t>No</t>
        </is>
      </c>
      <c r="K158" s="10" t="inlineStr">
        <is>
          <t>Public contract is valid; runtime creation remains intentionally conservative.</t>
        </is>
      </c>
    </row>
    <row r="159" outlineLevel="1" ht="52" customHeight="1">
      <c r="A159" s="10" t="inlineStr">
        <is>
          <t>F-0158</t>
        </is>
      </c>
      <c r="B159" s="10" t="inlineStr">
        <is>
          <t>Cron</t>
        </is>
      </c>
      <c r="C159" s="10" t="inlineStr">
        <is>
          <t>job-076 Shepherd Parse first-mile repair graph</t>
        </is>
      </c>
      <c r="D159" s="10" t="inlineStr">
        <is>
          <t>Manifest capability</t>
        </is>
      </c>
      <c r="E159" s="10" t="inlineStr">
        <is>
          <t>As a Kurultai operator, I want job-076 shepherd parse first-mile repair graph so that the system behaves predictably and safely.</t>
        </is>
      </c>
      <c r="F159" s="10" t="inlineStr">
        <is>
          <t>Honor the declared interval 30 minutes schedule, delivery policy, and skill metadata; never create the job when its referenced script is absent.</t>
        </is>
      </c>
      <c r="G159" s="10" t="inlineStr">
        <is>
          <t>config/runtime-config/cron.manifest.json</t>
        </is>
      </c>
      <c r="H159" s="10" t="inlineStr">
        <is>
          <t>test_cron_manifest_has_valid_unique_jobs_and_reconciliation_for_every_entry</t>
        </is>
      </c>
      <c r="I159" s="10" t="inlineStr">
        <is>
          <t>Contract verified; not installed</t>
        </is>
      </c>
      <c r="J159" s="10" t="inlineStr">
        <is>
          <t>No</t>
        </is>
      </c>
      <c r="K159" s="10" t="inlineStr">
        <is>
          <t>Public contract is valid; runtime creation remains intentionally conservative.</t>
        </is>
      </c>
    </row>
    <row r="160" outlineLevel="1" ht="52" customHeight="1">
      <c r="A160" s="10" t="inlineStr">
        <is>
          <t>F-0159</t>
        </is>
      </c>
      <c r="B160" s="10" t="inlineStr">
        <is>
          <t>Cron</t>
        </is>
      </c>
      <c r="C160" s="10" t="inlineStr">
        <is>
          <t>job-077 shepherd-kurultai-amended-remediation-20260601</t>
        </is>
      </c>
      <c r="D160" s="10" t="inlineStr">
        <is>
          <t>Manifest capability</t>
        </is>
      </c>
      <c r="E160" s="10" t="inlineStr">
        <is>
          <t>As a Kurultai operator, I want job-077 shepherd-kurultai-amended-remediation-20260601 so that the system behaves predictably and safely.</t>
        </is>
      </c>
      <c r="F160" s="10" t="inlineStr">
        <is>
          <t>Honor the declared interval 30 minutes schedule, delivery policy, and skill metadata; never create the job when its referenced script is absent.</t>
        </is>
      </c>
      <c r="G160" s="10" t="inlineStr">
        <is>
          <t>config/runtime-config/cron.manifest.json</t>
        </is>
      </c>
      <c r="H160" s="10" t="inlineStr">
        <is>
          <t>test_cron_manifest_has_valid_unique_jobs_and_reconciliation_for_every_entry</t>
        </is>
      </c>
      <c r="I160" s="10" t="inlineStr">
        <is>
          <t>Contract verified; not installed</t>
        </is>
      </c>
      <c r="J160" s="10" t="inlineStr">
        <is>
          <t>No</t>
        </is>
      </c>
      <c r="K160" s="10" t="inlineStr">
        <is>
          <t>Public contract is valid; runtime creation remains intentionally conservative.</t>
        </is>
      </c>
    </row>
    <row r="161" outlineLevel="1" ht="52" customHeight="1">
      <c r="A161" s="10" t="inlineStr">
        <is>
          <t>F-0160</t>
        </is>
      </c>
      <c r="B161" s="10" t="inlineStr">
        <is>
          <t>Cron</t>
        </is>
      </c>
      <c r="C161" s="10" t="inlineStr">
        <is>
          <t>job-078 awm-money-watchdog</t>
        </is>
      </c>
      <c r="D161" s="10" t="inlineStr">
        <is>
          <t>Manifest capability</t>
        </is>
      </c>
      <c r="E161" s="10" t="inlineStr">
        <is>
          <t>As a Kurultai operator, I want job-078 awm-money-watchdog so that the system behaves predictably and safely.</t>
        </is>
      </c>
      <c r="F161" s="10" t="inlineStr">
        <is>
          <t>Honor the declared interval 5 minutes schedule, delivery policy, and skill metadata; never create the job when its referenced script is absent.</t>
        </is>
      </c>
      <c r="G161" s="10" t="inlineStr">
        <is>
          <t>config/runtime-config/cron.manifest.json</t>
        </is>
      </c>
      <c r="H161" s="10" t="inlineStr">
        <is>
          <t>test_cron_manifest_has_valid_unique_jobs_and_reconciliation_for_every_entry</t>
        </is>
      </c>
      <c r="I161" s="10" t="inlineStr">
        <is>
          <t>Blocked: missing script</t>
        </is>
      </c>
      <c r="J161" s="10" t="inlineStr">
        <is>
          <t>Yes</t>
        </is>
      </c>
      <c r="K161" s="10" t="inlineStr">
        <is>
          <t>Missing public script: awm_money_watchdog.py</t>
        </is>
      </c>
    </row>
    <row r="162" outlineLevel="1" ht="52" customHeight="1">
      <c r="A162" s="10" t="inlineStr">
        <is>
          <t>F-0161</t>
        </is>
      </c>
      <c r="B162" s="10" t="inlineStr">
        <is>
          <t>Cron</t>
        </is>
      </c>
      <c r="C162" s="10" t="inlineStr">
        <is>
          <t>job-079 paid-task-watchdog</t>
        </is>
      </c>
      <c r="D162" s="10" t="inlineStr">
        <is>
          <t>Manifest capability</t>
        </is>
      </c>
      <c r="E162" s="10" t="inlineStr">
        <is>
          <t>As a Kurultai operator, I want job-079 paid-task-watchdog so that the system behaves predictably and safely.</t>
        </is>
      </c>
      <c r="F162" s="10" t="inlineStr">
        <is>
          <t>Honor the declared interval 5 minutes schedule, delivery policy, and skill metadata; never create the job when its referenced script is absent.</t>
        </is>
      </c>
      <c r="G162" s="10" t="inlineStr">
        <is>
          <t>config/runtime-config/cron.manifest.json</t>
        </is>
      </c>
      <c r="H162" s="10" t="inlineStr">
        <is>
          <t>test_cron_manifest_has_valid_unique_jobs_and_reconciliation_for_every_entry</t>
        </is>
      </c>
      <c r="I162" s="10" t="inlineStr">
        <is>
          <t>Blocked: missing script</t>
        </is>
      </c>
      <c r="J162" s="10" t="inlineStr">
        <is>
          <t>Yes</t>
        </is>
      </c>
      <c r="K162" s="10" t="inlineStr">
        <is>
          <t>Missing public script: paid_task_watchdog.py</t>
        </is>
      </c>
    </row>
    <row r="163" outlineLevel="1" ht="52" customHeight="1">
      <c r="A163" s="10" t="inlineStr">
        <is>
          <t>F-0162</t>
        </is>
      </c>
      <c r="B163" s="10" t="inlineStr">
        <is>
          <t>Cron</t>
        </is>
      </c>
      <c r="C163" s="10" t="inlineStr">
        <is>
          <t>job-080 money-autonomy-operator-first-dollar-continuous</t>
        </is>
      </c>
      <c r="D163" s="10" t="inlineStr">
        <is>
          <t>Manifest capability</t>
        </is>
      </c>
      <c r="E163" s="10" t="inlineStr">
        <is>
          <t>As a Kurultai operator, I want job-080 money-autonomy-operator-first-dollar-continuous so that the system behaves predictably and safely.</t>
        </is>
      </c>
      <c r="F163" s="10" t="inlineStr">
        <is>
          <t>Honor the declared interval 60 minutes schedule, delivery policy, and skill metadata; never create the job when its referenced script is absent.</t>
        </is>
      </c>
      <c r="G163" s="10" t="inlineStr">
        <is>
          <t>config/runtime-config/cron.manifest.json</t>
        </is>
      </c>
      <c r="H163" s="10" t="inlineStr">
        <is>
          <t>test_cron_manifest_has_valid_unique_jobs_and_reconciliation_for_every_entry</t>
        </is>
      </c>
      <c r="I163" s="10" t="inlineStr">
        <is>
          <t>Blocked: missing script</t>
        </is>
      </c>
      <c r="J163" s="10" t="inlineStr">
        <is>
          <t>Yes</t>
        </is>
      </c>
      <c r="K163" s="10" t="inlineStr">
        <is>
          <t>Missing public script: money_autonomy_context.py</t>
        </is>
      </c>
    </row>
    <row r="164" outlineLevel="1" ht="52" customHeight="1">
      <c r="A164" s="10" t="inlineStr">
        <is>
          <t>F-0163</t>
        </is>
      </c>
      <c r="B164" s="10" t="inlineStr">
        <is>
          <t>Cron</t>
        </is>
      </c>
      <c r="C164" s="10" t="inlineStr">
        <is>
          <t>job-081 money-pr-monitor</t>
        </is>
      </c>
      <c r="D164" s="10" t="inlineStr">
        <is>
          <t>Manifest capability</t>
        </is>
      </c>
      <c r="E164" s="10" t="inlineStr">
        <is>
          <t>As a Kurultai operator, I want job-081 money-pr-monitor so that the system behaves predictably and safely.</t>
        </is>
      </c>
      <c r="F164" s="10" t="inlineStr">
        <is>
          <t>Honor the declared interval 5 minutes schedule, delivery policy, and skill metadata; never create the job when its referenced script is absent.</t>
        </is>
      </c>
      <c r="G164" s="10" t="inlineStr">
        <is>
          <t>config/runtime-config/cron.manifest.json</t>
        </is>
      </c>
      <c r="H164" s="10" t="inlineStr">
        <is>
          <t>test_cron_manifest_has_valid_unique_jobs_and_reconciliation_for_every_entry</t>
        </is>
      </c>
      <c r="I164" s="10" t="inlineStr">
        <is>
          <t>Blocked: missing script</t>
        </is>
      </c>
      <c r="J164" s="10" t="inlineStr">
        <is>
          <t>Yes</t>
        </is>
      </c>
      <c r="K164" s="10" t="inlineStr">
        <is>
          <t>Missing public script: money_pr_monitor.py</t>
        </is>
      </c>
    </row>
    <row r="165" outlineLevel="1" ht="52" customHeight="1">
      <c r="A165" s="10" t="inlineStr">
        <is>
          <t>F-0164</t>
        </is>
      </c>
      <c r="B165" s="10" t="inlineStr">
        <is>
          <t>Cron</t>
        </is>
      </c>
      <c r="C165" s="10" t="inlineStr">
        <is>
          <t>job-082 KurultaiVault mount/headroom canary</t>
        </is>
      </c>
      <c r="D165" s="10" t="inlineStr">
        <is>
          <t>Manifest capability</t>
        </is>
      </c>
      <c r="E165" s="10" t="inlineStr">
        <is>
          <t>As a Kurultai operator, I want job-082 kurultaivault mount/headroom canary so that the system behaves predictably and safely.</t>
        </is>
      </c>
      <c r="F165" s="10" t="inlineStr">
        <is>
          <t>Honor the declared interval 30 minutes schedule, delivery policy, and skill metadata; never create the job when its referenced script is absent.</t>
        </is>
      </c>
      <c r="G165" s="10" t="inlineStr">
        <is>
          <t>config/runtime-config/cron.manifest.json</t>
        </is>
      </c>
      <c r="H165" s="10" t="inlineStr">
        <is>
          <t>test_cron_manifest_has_valid_unique_jobs_and_reconciliation_for_every_entry</t>
        </is>
      </c>
      <c r="I165" s="10" t="inlineStr">
        <is>
          <t>Blocked: missing script</t>
        </is>
      </c>
      <c r="J165" s="10" t="inlineStr">
        <is>
          <t>Yes</t>
        </is>
      </c>
      <c r="K165" s="10" t="inlineStr">
        <is>
          <t>Missing public script: kurultai_vault_canary.sh</t>
        </is>
      </c>
    </row>
    <row r="166" outlineLevel="1" ht="52" customHeight="1">
      <c r="A166" s="10" t="inlineStr">
        <is>
          <t>F-0165</t>
        </is>
      </c>
      <c r="B166" s="10" t="inlineStr">
        <is>
          <t>Cron</t>
        </is>
      </c>
      <c r="C166" s="10" t="inlineStr">
        <is>
          <t>job-083 kurultai-action-yield-nightly</t>
        </is>
      </c>
      <c r="D166" s="10" t="inlineStr">
        <is>
          <t>Manifest capability</t>
        </is>
      </c>
      <c r="E166" s="10" t="inlineStr">
        <is>
          <t>As a Kurultai operator, I want job-083 kurultai-action-yield-nightly so that the system behaves predictably and safely.</t>
        </is>
      </c>
      <c r="F166" s="10" t="inlineStr">
        <is>
          <t>Honor the declared cron 15 2 * * * schedule, delivery policy, and skill metadata; never create the job when its referenced script is absent.</t>
        </is>
      </c>
      <c r="G166" s="10" t="inlineStr">
        <is>
          <t>config/runtime-config/cron.manifest.json</t>
        </is>
      </c>
      <c r="H166" s="10" t="inlineStr">
        <is>
          <t>test_cron_manifest_has_valid_unique_jobs_and_reconciliation_for_every_entry</t>
        </is>
      </c>
      <c r="I166" s="10" t="inlineStr">
        <is>
          <t>Blocked: missing script</t>
        </is>
      </c>
      <c r="J166" s="10" t="inlineStr">
        <is>
          <t>Yes</t>
        </is>
      </c>
      <c r="K166" s="10" t="inlineStr">
        <is>
          <t>Missing public script: kurultai_action_yield.py</t>
        </is>
      </c>
    </row>
    <row r="167" outlineLevel="1" ht="52" customHeight="1">
      <c r="A167" s="10" t="inlineStr">
        <is>
          <t>F-0166</t>
        </is>
      </c>
      <c r="B167" s="10" t="inlineStr">
        <is>
          <t>Cron</t>
        </is>
      </c>
      <c r="C167" s="10" t="inlineStr">
        <is>
          <t>job-084 kurultai-smoke-triplet-nightly</t>
        </is>
      </c>
      <c r="D167" s="10" t="inlineStr">
        <is>
          <t>Manifest capability</t>
        </is>
      </c>
      <c r="E167" s="10" t="inlineStr">
        <is>
          <t>As a Kurultai operator, I want job-084 kurultai-smoke-triplet-nightly so that the system behaves predictably and safely.</t>
        </is>
      </c>
      <c r="F167" s="10" t="inlineStr">
        <is>
          <t>Honor the declared cron 30 2 * * * schedule, delivery policy, and skill metadata; never create the job when its referenced script is absent.</t>
        </is>
      </c>
      <c r="G167" s="10" t="inlineStr">
        <is>
          <t>config/runtime-config/cron.manifest.json</t>
        </is>
      </c>
      <c r="H167" s="10" t="inlineStr">
        <is>
          <t>test_cron_manifest_has_valid_unique_jobs_and_reconciliation_for_every_entry</t>
        </is>
      </c>
      <c r="I167" s="10" t="inlineStr">
        <is>
          <t>Blocked: missing script</t>
        </is>
      </c>
      <c r="J167" s="10" t="inlineStr">
        <is>
          <t>Yes</t>
        </is>
      </c>
      <c r="K167" s="10" t="inlineStr">
        <is>
          <t>Missing public script: kurultai_smoke_triplet.py</t>
        </is>
      </c>
    </row>
    <row r="168" outlineLevel="1" ht="52" customHeight="1">
      <c r="A168" s="10" t="inlineStr">
        <is>
          <t>F-0167</t>
        </is>
      </c>
      <c r="B168" s="10" t="inlineStr">
        <is>
          <t>Cron</t>
        </is>
      </c>
      <c r="C168" s="10" t="inlineStr">
        <is>
          <t>job-085 kurultai-money-attribution-daily</t>
        </is>
      </c>
      <c r="D168" s="10" t="inlineStr">
        <is>
          <t>Manifest capability</t>
        </is>
      </c>
      <c r="E168" s="10" t="inlineStr">
        <is>
          <t>As a Kurultai operator, I want job-085 kurultai-money-attribution-daily so that the system behaves predictably and safely.</t>
        </is>
      </c>
      <c r="F168" s="10" t="inlineStr">
        <is>
          <t>Honor the declared cron 45 7 * * * schedule, delivery policy, and skill metadata; never create the job when its referenced script is absent.</t>
        </is>
      </c>
      <c r="G168" s="10" t="inlineStr">
        <is>
          <t>config/runtime-config/cron.manifest.json</t>
        </is>
      </c>
      <c r="H168" s="10" t="inlineStr">
        <is>
          <t>test_cron_manifest_has_valid_unique_jobs_and_reconciliation_for_every_entry</t>
        </is>
      </c>
      <c r="I168" s="10" t="inlineStr">
        <is>
          <t>Blocked: missing script</t>
        </is>
      </c>
      <c r="J168" s="10" t="inlineStr">
        <is>
          <t>Yes</t>
        </is>
      </c>
      <c r="K168" s="10" t="inlineStr">
        <is>
          <t>Missing public script: kurultai_money_attribution.py</t>
        </is>
      </c>
    </row>
    <row r="169" outlineLevel="1" ht="52" customHeight="1">
      <c r="A169" s="10" t="inlineStr">
        <is>
          <t>F-0168</t>
        </is>
      </c>
      <c r="B169" s="10" t="inlineStr">
        <is>
          <t>Cron</t>
        </is>
      </c>
      <c r="C169" s="10" t="inlineStr">
        <is>
          <t>job-086 local-model-readiness-probe</t>
        </is>
      </c>
      <c r="D169" s="10" t="inlineStr">
        <is>
          <t>Manifest capability</t>
        </is>
      </c>
      <c r="E169" s="10" t="inlineStr">
        <is>
          <t>As a Kurultai operator, I want job-086 local-model-readiness-probe so that the system behaves predictably and safely.</t>
        </is>
      </c>
      <c r="F169" s="10" t="inlineStr">
        <is>
          <t>Honor the declared cron */15 * * * * schedule, delivery policy, and skill metadata; never create the job when its referenced script is absent.</t>
        </is>
      </c>
      <c r="G169" s="10" t="inlineStr">
        <is>
          <t>config/runtime-config/cron.manifest.json</t>
        </is>
      </c>
      <c r="H169" s="10" t="inlineStr">
        <is>
          <t>test_cron_manifest_has_valid_unique_jobs_and_reconciliation_for_every_entry</t>
        </is>
      </c>
      <c r="I169" s="10" t="inlineStr">
        <is>
          <t>Blocked: missing script</t>
        </is>
      </c>
      <c r="J169" s="10" t="inlineStr">
        <is>
          <t>Yes</t>
        </is>
      </c>
      <c r="K169" s="10" t="inlineStr">
        <is>
          <t>Missing public script: local_model_readiness_probe.py</t>
        </is>
      </c>
    </row>
    <row r="170" outlineLevel="1" ht="52" customHeight="1">
      <c r="A170" s="10" t="inlineStr">
        <is>
          <t>F-0169</t>
        </is>
      </c>
      <c r="B170" s="10" t="inlineStr">
        <is>
          <t>Skills</t>
        </is>
      </c>
      <c r="C170" s="10" t="inlineStr">
        <is>
          <t>airtable</t>
        </is>
      </c>
      <c r="D170" s="10" t="inlineStr">
        <is>
          <t>Manifest capability</t>
        </is>
      </c>
      <c r="E170" s="10" t="inlineStr">
        <is>
          <t>As a Kurultai operator, I want airtable so that the system behaves predictably and safely.</t>
        </is>
      </c>
      <c r="F170" s="10" t="inlineStr">
        <is>
          <t>Airtable REST API via curl. Records CRUD, filters, upserts.</t>
        </is>
      </c>
      <c r="G170" s="10" t="inlineStr">
        <is>
          <t>config/runtime-config/skills.manifest.json</t>
        </is>
      </c>
      <c r="H170" s="10" t="inlineStr">
        <is>
          <t>test_skill_manifest_has_metadata_for_every_declared_capability; local SKILL.md inventory</t>
        </is>
      </c>
      <c r="I170" s="10" t="inlineStr">
        <is>
          <t>Installed / contract verified</t>
        </is>
      </c>
      <c r="J170" s="10" t="inlineStr">
        <is>
          <t>No</t>
        </is>
      </c>
      <c r="K170" s="10" t="inlineStr">
        <is>
          <t>A local skill package with the same declared name is present.</t>
        </is>
      </c>
    </row>
    <row r="171" outlineLevel="1" ht="52" customHeight="1">
      <c r="A171" s="10" t="inlineStr">
        <is>
          <t>F-0170</t>
        </is>
      </c>
      <c r="B171" s="10" t="inlineStr">
        <is>
          <t>Skills</t>
        </is>
      </c>
      <c r="C171" s="10" t="inlineStr">
        <is>
          <t>apple-notes</t>
        </is>
      </c>
      <c r="D171" s="10" t="inlineStr">
        <is>
          <t>Manifest capability</t>
        </is>
      </c>
      <c r="E171" s="10" t="inlineStr">
        <is>
          <t>As a Kurultai operator, I want apple-notes so that the system behaves predictably and safely.</t>
        </is>
      </c>
      <c r="F171" s="10" t="inlineStr">
        <is>
          <t>Manage Apple Notes via memo CLI: create, search, edit.</t>
        </is>
      </c>
      <c r="G171" s="10" t="inlineStr">
        <is>
          <t>config/runtime-config/skills.manifest.json</t>
        </is>
      </c>
      <c r="H171" s="10" t="inlineStr">
        <is>
          <t>test_skill_manifest_has_metadata_for_every_declared_capability; local SKILL.md inventory</t>
        </is>
      </c>
      <c r="I171" s="10" t="inlineStr">
        <is>
          <t>Installed / contract verified</t>
        </is>
      </c>
      <c r="J171" s="10" t="inlineStr">
        <is>
          <t>No</t>
        </is>
      </c>
      <c r="K171" s="10" t="inlineStr">
        <is>
          <t>A local skill package with the same declared name is present.</t>
        </is>
      </c>
    </row>
    <row r="172" outlineLevel="1" ht="52" customHeight="1">
      <c r="A172" s="10" t="inlineStr">
        <is>
          <t>F-0171</t>
        </is>
      </c>
      <c r="B172" s="10" t="inlineStr">
        <is>
          <t>Skills</t>
        </is>
      </c>
      <c r="C172" s="10" t="inlineStr">
        <is>
          <t>apple-reminders</t>
        </is>
      </c>
      <c r="D172" s="10" t="inlineStr">
        <is>
          <t>Manifest capability</t>
        </is>
      </c>
      <c r="E172" s="10" t="inlineStr">
        <is>
          <t>As a Kurultai operator, I want apple-reminders so that the system behaves predictably and safely.</t>
        </is>
      </c>
      <c r="F172" s="10" t="inlineStr">
        <is>
          <t>Apple Reminders via remindctl: add, list, complete.</t>
        </is>
      </c>
      <c r="G172" s="10" t="inlineStr">
        <is>
          <t>config/runtime-config/skills.manifest.json</t>
        </is>
      </c>
      <c r="H172" s="10" t="inlineStr">
        <is>
          <t>test_skill_manifest_has_metadata_for_every_declared_capability; local SKILL.md inventory</t>
        </is>
      </c>
      <c r="I172" s="10" t="inlineStr">
        <is>
          <t>Installed / contract verified</t>
        </is>
      </c>
      <c r="J172" s="10" t="inlineStr">
        <is>
          <t>No</t>
        </is>
      </c>
      <c r="K172" s="10" t="inlineStr">
        <is>
          <t>A local skill package with the same declared name is present.</t>
        </is>
      </c>
    </row>
    <row r="173" outlineLevel="1" ht="52" customHeight="1">
      <c r="A173" s="10" t="inlineStr">
        <is>
          <t>F-0172</t>
        </is>
      </c>
      <c r="B173" s="10" t="inlineStr">
        <is>
          <t>Skills</t>
        </is>
      </c>
      <c r="C173" s="10" t="inlineStr">
        <is>
          <t>architecture-diagram</t>
        </is>
      </c>
      <c r="D173" s="10" t="inlineStr">
        <is>
          <t>Manifest capability</t>
        </is>
      </c>
      <c r="E173" s="10" t="inlineStr">
        <is>
          <t>As a Kurultai operator, I want architecture-diagram so that the system behaves predictably and safely.</t>
        </is>
      </c>
      <c r="F173" s="10" t="inlineStr">
        <is>
          <t>Dark-themed SVG architecture/cloud/infra diagrams as HTML.</t>
        </is>
      </c>
      <c r="G173" s="10" t="inlineStr">
        <is>
          <t>config/runtime-config/skills.manifest.json</t>
        </is>
      </c>
      <c r="H173" s="10" t="inlineStr">
        <is>
          <t>test_skill_manifest_has_metadata_for_every_declared_capability; local SKILL.md inventory</t>
        </is>
      </c>
      <c r="I173" s="10" t="inlineStr">
        <is>
          <t>Installed / contract verified</t>
        </is>
      </c>
      <c r="J173" s="10" t="inlineStr">
        <is>
          <t>No</t>
        </is>
      </c>
      <c r="K173" s="10" t="inlineStr">
        <is>
          <t>A local skill package with the same declared name is present.</t>
        </is>
      </c>
    </row>
    <row r="174" outlineLevel="1" ht="52" customHeight="1">
      <c r="A174" s="10" t="inlineStr">
        <is>
          <t>F-0173</t>
        </is>
      </c>
      <c r="B174" s="10" t="inlineStr">
        <is>
          <t>Skills</t>
        </is>
      </c>
      <c r="C174" s="10" t="inlineStr">
        <is>
          <t>arxiv</t>
        </is>
      </c>
      <c r="D174" s="10" t="inlineStr">
        <is>
          <t>Manifest capability</t>
        </is>
      </c>
      <c r="E174" s="10" t="inlineStr">
        <is>
          <t>As a Kurultai operator, I want arxiv so that the system behaves predictably and safely.</t>
        </is>
      </c>
      <c r="F174" s="10" t="inlineStr">
        <is>
          <t>Search arXiv papers by keyword, author, category, or ID.</t>
        </is>
      </c>
      <c r="G174" s="10" t="inlineStr">
        <is>
          <t>config/runtime-config/skills.manifest.json</t>
        </is>
      </c>
      <c r="H174" s="10" t="inlineStr">
        <is>
          <t>test_skill_manifest_has_metadata_for_every_declared_capability; local SKILL.md inventory</t>
        </is>
      </c>
      <c r="I174" s="10" t="inlineStr">
        <is>
          <t>Installed / contract verified</t>
        </is>
      </c>
      <c r="J174" s="10" t="inlineStr">
        <is>
          <t>No</t>
        </is>
      </c>
      <c r="K174" s="10" t="inlineStr">
        <is>
          <t>A local skill package with the same declared name is present.</t>
        </is>
      </c>
    </row>
    <row r="175" outlineLevel="1" ht="52" customHeight="1">
      <c r="A175" s="10" t="inlineStr">
        <is>
          <t>F-0174</t>
        </is>
      </c>
      <c r="B175" s="10" t="inlineStr">
        <is>
          <t>Skills</t>
        </is>
      </c>
      <c r="C175" s="10" t="inlineStr">
        <is>
          <t>ascii-art</t>
        </is>
      </c>
      <c r="D175" s="10" t="inlineStr">
        <is>
          <t>Manifest capability</t>
        </is>
      </c>
      <c r="E175" s="10" t="inlineStr">
        <is>
          <t>As a Kurultai operator, I want ascii-art so that the system behaves predictably and safely.</t>
        </is>
      </c>
      <c r="F175" s="10" t="inlineStr">
        <is>
          <t>ASCII art: pyfiglet, cowsay, boxes, image-to-ascii.</t>
        </is>
      </c>
      <c r="G175" s="10" t="inlineStr">
        <is>
          <t>config/runtime-config/skills.manifest.json</t>
        </is>
      </c>
      <c r="H175" s="10" t="inlineStr">
        <is>
          <t>test_skill_manifest_has_metadata_for_every_declared_capability; local SKILL.md inventory</t>
        </is>
      </c>
      <c r="I175" s="10" t="inlineStr">
        <is>
          <t>Installed / contract verified</t>
        </is>
      </c>
      <c r="J175" s="10" t="inlineStr">
        <is>
          <t>No</t>
        </is>
      </c>
      <c r="K175" s="10" t="inlineStr">
        <is>
          <t>A local skill package with the same declared name is present.</t>
        </is>
      </c>
    </row>
    <row r="176" outlineLevel="1" ht="52" customHeight="1">
      <c r="A176" s="10" t="inlineStr">
        <is>
          <t>F-0175</t>
        </is>
      </c>
      <c r="B176" s="10" t="inlineStr">
        <is>
          <t>Skills</t>
        </is>
      </c>
      <c r="C176" s="10" t="inlineStr">
        <is>
          <t>ascii-video</t>
        </is>
      </c>
      <c r="D176" s="10" t="inlineStr">
        <is>
          <t>Manifest capability</t>
        </is>
      </c>
      <c r="E176" s="10" t="inlineStr">
        <is>
          <t>As a Kurultai operator, I want ascii-video so that the system behaves predictably and safely.</t>
        </is>
      </c>
      <c r="F176" s="10" t="inlineStr">
        <is>
          <t>ASCII video: convert video/audio to colored ASCII MP4/GIF.</t>
        </is>
      </c>
      <c r="G176" s="10" t="inlineStr">
        <is>
          <t>config/runtime-config/skills.manifest.json</t>
        </is>
      </c>
      <c r="H176" s="10" t="inlineStr">
        <is>
          <t>test_skill_manifest_has_metadata_for_every_declared_capability; local SKILL.md inventory</t>
        </is>
      </c>
      <c r="I176" s="10" t="inlineStr">
        <is>
          <t>Installed / contract verified</t>
        </is>
      </c>
      <c r="J176" s="10" t="inlineStr">
        <is>
          <t>No</t>
        </is>
      </c>
      <c r="K176" s="10" t="inlineStr">
        <is>
          <t>A local skill package with the same declared name is present.</t>
        </is>
      </c>
    </row>
    <row r="177" outlineLevel="1" ht="52" customHeight="1">
      <c r="A177" s="10" t="inlineStr">
        <is>
          <t>F-0176</t>
        </is>
      </c>
      <c r="B177" s="10" t="inlineStr">
        <is>
          <t>Skills</t>
        </is>
      </c>
      <c r="C177" s="10" t="inlineStr">
        <is>
          <t>audiocraft-audio-generation</t>
        </is>
      </c>
      <c r="D177" s="10" t="inlineStr">
        <is>
          <t>Manifest capability</t>
        </is>
      </c>
      <c r="E177" s="10" t="inlineStr">
        <is>
          <t>As a Kurultai operator, I want audiocraft-audio-generation so that the system behaves predictably and safely.</t>
        </is>
      </c>
      <c r="F177" s="10" t="inlineStr">
        <is>
          <t>Expose the declared audiocraft-audio-generation capability when its package is available.</t>
        </is>
      </c>
      <c r="G177" s="10" t="inlineStr">
        <is>
          <t>config/runtime-config/skills.manifest.json</t>
        </is>
      </c>
      <c r="H177" s="10" t="inlineStr">
        <is>
          <t>test_skill_manifest_has_metadata_for_every_declared_capability; local SKILL.md inventory</t>
        </is>
      </c>
      <c r="I177" s="10" t="inlineStr">
        <is>
          <t>Declared; package unavailable</t>
        </is>
      </c>
      <c r="J177" s="10" t="inlineStr">
        <is>
          <t>Yes</t>
        </is>
      </c>
      <c r="K177" s="10" t="inlineStr">
        <is>
          <t>Declared path .archive/audiocraft-audio-generation is not available locally.</t>
        </is>
      </c>
    </row>
    <row r="178" outlineLevel="1" ht="52" customHeight="1">
      <c r="A178" s="10" t="inlineStr">
        <is>
          <t>F-0177</t>
        </is>
      </c>
      <c r="B178" s="10" t="inlineStr">
        <is>
          <t>Skills</t>
        </is>
      </c>
      <c r="C178" s="10" t="inlineStr">
        <is>
          <t>baoyu-infographic</t>
        </is>
      </c>
      <c r="D178" s="10" t="inlineStr">
        <is>
          <t>Manifest capability</t>
        </is>
      </c>
      <c r="E178" s="10" t="inlineStr">
        <is>
          <t>As a Kurultai operator, I want baoyu-infographic so that the system behaves predictably and safely.</t>
        </is>
      </c>
      <c r="F178" s="10" t="inlineStr">
        <is>
          <t>Infographics: 21 layouts x 21 styles (信息图, 可视化).</t>
        </is>
      </c>
      <c r="G178" s="10" t="inlineStr">
        <is>
          <t>config/runtime-config/skills.manifest.json</t>
        </is>
      </c>
      <c r="H178" s="10" t="inlineStr">
        <is>
          <t>test_skill_manifest_has_metadata_for_every_declared_capability; local SKILL.md inventory</t>
        </is>
      </c>
      <c r="I178" s="10" t="inlineStr">
        <is>
          <t>Installed / contract verified</t>
        </is>
      </c>
      <c r="J178" s="10" t="inlineStr">
        <is>
          <t>No</t>
        </is>
      </c>
      <c r="K178" s="10" t="inlineStr">
        <is>
          <t>A local skill package with the same declared name is present.</t>
        </is>
      </c>
    </row>
    <row r="179" outlineLevel="1" ht="52" customHeight="1">
      <c r="A179" s="10" t="inlineStr">
        <is>
          <t>F-0178</t>
        </is>
      </c>
      <c r="B179" s="10" t="inlineStr">
        <is>
          <t>Skills</t>
        </is>
      </c>
      <c r="C179" s="10" t="inlineStr">
        <is>
          <t>blogwatcher</t>
        </is>
      </c>
      <c r="D179" s="10" t="inlineStr">
        <is>
          <t>Manifest capability</t>
        </is>
      </c>
      <c r="E179" s="10" t="inlineStr">
        <is>
          <t>As a Kurultai operator, I want blogwatcher so that the system behaves predictably and safely.</t>
        </is>
      </c>
      <c r="F179" s="10" t="inlineStr">
        <is>
          <t>Monitor blogs and RSS/Atom feeds via blogwatcher-cli tool.</t>
        </is>
      </c>
      <c r="G179" s="10" t="inlineStr">
        <is>
          <t>config/runtime-config/skills.manifest.json</t>
        </is>
      </c>
      <c r="H179" s="10" t="inlineStr">
        <is>
          <t>test_skill_manifest_has_metadata_for_every_declared_capability; local SKILL.md inventory</t>
        </is>
      </c>
      <c r="I179" s="10" t="inlineStr">
        <is>
          <t>Installed / contract verified</t>
        </is>
      </c>
      <c r="J179" s="10" t="inlineStr">
        <is>
          <t>No</t>
        </is>
      </c>
      <c r="K179" s="10" t="inlineStr">
        <is>
          <t>A local skill package with the same declared name is present.</t>
        </is>
      </c>
    </row>
    <row r="180" outlineLevel="1" ht="52" customHeight="1">
      <c r="A180" s="10" t="inlineStr">
        <is>
          <t>F-0179</t>
        </is>
      </c>
      <c r="B180" s="10" t="inlineStr">
        <is>
          <t>Skills</t>
        </is>
      </c>
      <c r="C180" s="10" t="inlineStr">
        <is>
          <t>brain-optimizer</t>
        </is>
      </c>
      <c r="D180" s="10" t="inlineStr">
        <is>
          <t>Manifest capability</t>
        </is>
      </c>
      <c r="E180" s="10" t="inlineStr">
        <is>
          <t>As a Kurultai operator, I want brain-optimizer so that the system behaves predictably and safely.</t>
        </is>
      </c>
      <c r="F180" s="10" t="inlineStr">
        <is>
          <t>Audit, optimize, prune, and safely restructure the operator's `/Users/kurultai/brain/` Obsidian wiki. Use for scheduled Hermes/Codex/Claude Code brain maintenance, retrieval-quality audits, index reconciliation, stale-page pruning, duplicate detection, canonical-page proposals, and approval-gated restructures.</t>
        </is>
      </c>
      <c r="G180" s="10" t="inlineStr">
        <is>
          <t>config/runtime-config/skills.manifest.json</t>
        </is>
      </c>
      <c r="H180" s="10" t="inlineStr">
        <is>
          <t>test_skill_manifest_has_metadata_for_every_declared_capability; local SKILL.md inventory</t>
        </is>
      </c>
      <c r="I180" s="10" t="inlineStr">
        <is>
          <t>Declared; package unavailable</t>
        </is>
      </c>
      <c r="J180" s="10" t="inlineStr">
        <is>
          <t>Yes</t>
        </is>
      </c>
      <c r="K180" s="10" t="inlineStr">
        <is>
          <t>Declared path .archive/brain-optimizer is not available locally.</t>
        </is>
      </c>
    </row>
    <row r="181" outlineLevel="1" ht="52" customHeight="1">
      <c r="A181" s="10" t="inlineStr">
        <is>
          <t>F-0180</t>
        </is>
      </c>
      <c r="B181" s="10" t="inlineStr">
        <is>
          <t>Skills</t>
        </is>
      </c>
      <c r="C181" s="10" t="inlineStr">
        <is>
          <t>claude-code</t>
        </is>
      </c>
      <c r="D181" s="10" t="inlineStr">
        <is>
          <t>Manifest capability</t>
        </is>
      </c>
      <c r="E181" s="10" t="inlineStr">
        <is>
          <t>As a Kurultai operator, I want claude-code so that the system behaves predictably and safely.</t>
        </is>
      </c>
      <c r="F181" s="10" t="inlineStr">
        <is>
          <t>Delegate coding to Claude Code CLI (features, PRs).</t>
        </is>
      </c>
      <c r="G181" s="10" t="inlineStr">
        <is>
          <t>config/runtime-config/skills.manifest.json</t>
        </is>
      </c>
      <c r="H181" s="10" t="inlineStr">
        <is>
          <t>test_skill_manifest_has_metadata_for_every_declared_capability; local SKILL.md inventory</t>
        </is>
      </c>
      <c r="I181" s="10" t="inlineStr">
        <is>
          <t>Installed / contract verified</t>
        </is>
      </c>
      <c r="J181" s="10" t="inlineStr">
        <is>
          <t>No</t>
        </is>
      </c>
      <c r="K181" s="10" t="inlineStr">
        <is>
          <t>A local skill package with the same declared name is present.</t>
        </is>
      </c>
    </row>
    <row r="182" outlineLevel="1" ht="52" customHeight="1">
      <c r="A182" s="10" t="inlineStr">
        <is>
          <t>F-0181</t>
        </is>
      </c>
      <c r="B182" s="10" t="inlineStr">
        <is>
          <t>Skills</t>
        </is>
      </c>
      <c r="C182" s="10" t="inlineStr">
        <is>
          <t>claude-design</t>
        </is>
      </c>
      <c r="D182" s="10" t="inlineStr">
        <is>
          <t>Manifest capability</t>
        </is>
      </c>
      <c r="E182" s="10" t="inlineStr">
        <is>
          <t>As a Kurultai operator, I want claude-design so that the system behaves predictably and safely.</t>
        </is>
      </c>
      <c r="F182" s="10" t="inlineStr">
        <is>
          <t>Design one-off HTML artifacts (landing, deck, prototype).</t>
        </is>
      </c>
      <c r="G182" s="10" t="inlineStr">
        <is>
          <t>config/runtime-config/skills.manifest.json</t>
        </is>
      </c>
      <c r="H182" s="10" t="inlineStr">
        <is>
          <t>test_skill_manifest_has_metadata_for_every_declared_capability; local SKILL.md inventory</t>
        </is>
      </c>
      <c r="I182" s="10" t="inlineStr">
        <is>
          <t>Installed / contract verified</t>
        </is>
      </c>
      <c r="J182" s="10" t="inlineStr">
        <is>
          <t>No</t>
        </is>
      </c>
      <c r="K182" s="10" t="inlineStr">
        <is>
          <t>A local skill package with the same declared name is present.</t>
        </is>
      </c>
    </row>
    <row r="183" outlineLevel="1" ht="52" customHeight="1">
      <c r="A183" s="10" t="inlineStr">
        <is>
          <t>F-0182</t>
        </is>
      </c>
      <c r="B183" s="10" t="inlineStr">
        <is>
          <t>Skills</t>
        </is>
      </c>
      <c r="C183" s="10" t="inlineStr">
        <is>
          <t>codebase-inspection</t>
        </is>
      </c>
      <c r="D183" s="10" t="inlineStr">
        <is>
          <t>Manifest capability</t>
        </is>
      </c>
      <c r="E183" s="10" t="inlineStr">
        <is>
          <t>As a Kurultai operator, I want codebase-inspection so that the system behaves predictably and safely.</t>
        </is>
      </c>
      <c r="F183" s="10" t="inlineStr">
        <is>
          <t>Inspect codebases w/ pygount: LOC, languages, ratios.</t>
        </is>
      </c>
      <c r="G183" s="10" t="inlineStr">
        <is>
          <t>config/runtime-config/skills.manifest.json</t>
        </is>
      </c>
      <c r="H183" s="10" t="inlineStr">
        <is>
          <t>test_skill_manifest_has_metadata_for_every_declared_capability; local SKILL.md inventory</t>
        </is>
      </c>
      <c r="I183" s="10" t="inlineStr">
        <is>
          <t>Installed / contract verified</t>
        </is>
      </c>
      <c r="J183" s="10" t="inlineStr">
        <is>
          <t>No</t>
        </is>
      </c>
      <c r="K183" s="10" t="inlineStr">
        <is>
          <t>A local skill package with the same declared name is present.</t>
        </is>
      </c>
    </row>
    <row r="184" outlineLevel="1" ht="52" customHeight="1">
      <c r="A184" s="10" t="inlineStr">
        <is>
          <t>F-0183</t>
        </is>
      </c>
      <c r="B184" s="10" t="inlineStr">
        <is>
          <t>Skills</t>
        </is>
      </c>
      <c r="C184" s="10" t="inlineStr">
        <is>
          <t>codex</t>
        </is>
      </c>
      <c r="D184" s="10" t="inlineStr">
        <is>
          <t>Manifest capability</t>
        </is>
      </c>
      <c r="E184" s="10" t="inlineStr">
        <is>
          <t>As a Kurultai operator, I want codex so that the system behaves predictably and safely.</t>
        </is>
      </c>
      <c r="F184" s="10" t="inlineStr">
        <is>
          <t>Delegate coding to OpenAI Codex CLI (features, PRs).</t>
        </is>
      </c>
      <c r="G184" s="10" t="inlineStr">
        <is>
          <t>config/runtime-config/skills.manifest.json</t>
        </is>
      </c>
      <c r="H184" s="10" t="inlineStr">
        <is>
          <t>test_skill_manifest_has_metadata_for_every_declared_capability; local SKILL.md inventory</t>
        </is>
      </c>
      <c r="I184" s="10" t="inlineStr">
        <is>
          <t>Installed / contract verified</t>
        </is>
      </c>
      <c r="J184" s="10" t="inlineStr">
        <is>
          <t>No</t>
        </is>
      </c>
      <c r="K184" s="10" t="inlineStr">
        <is>
          <t>A local skill package with the same declared name is present.</t>
        </is>
      </c>
    </row>
    <row r="185" outlineLevel="1" ht="52" customHeight="1">
      <c r="A185" s="10" t="inlineStr">
        <is>
          <t>F-0184</t>
        </is>
      </c>
      <c r="B185" s="10" t="inlineStr">
        <is>
          <t>Skills</t>
        </is>
      </c>
      <c r="C185" s="10" t="inlineStr">
        <is>
          <t>design-md</t>
        </is>
      </c>
      <c r="D185" s="10" t="inlineStr">
        <is>
          <t>Manifest capability</t>
        </is>
      </c>
      <c r="E185" s="10" t="inlineStr">
        <is>
          <t>As a Kurultai operator, I want design-md so that the system behaves predictably and safely.</t>
        </is>
      </c>
      <c r="F185" s="10" t="inlineStr">
        <is>
          <t>Author/validate/export Google's DESIGN.md token spec files.</t>
        </is>
      </c>
      <c r="G185" s="10" t="inlineStr">
        <is>
          <t>config/runtime-config/skills.manifest.json</t>
        </is>
      </c>
      <c r="H185" s="10" t="inlineStr">
        <is>
          <t>test_skill_manifest_has_metadata_for_every_declared_capability; local SKILL.md inventory</t>
        </is>
      </c>
      <c r="I185" s="10" t="inlineStr">
        <is>
          <t>Installed / contract verified</t>
        </is>
      </c>
      <c r="J185" s="10" t="inlineStr">
        <is>
          <t>No</t>
        </is>
      </c>
      <c r="K185" s="10" t="inlineStr">
        <is>
          <t>A local skill package with the same declared name is present.</t>
        </is>
      </c>
    </row>
    <row r="186" outlineLevel="1" ht="52" customHeight="1">
      <c r="A186" s="10" t="inlineStr">
        <is>
          <t>F-0185</t>
        </is>
      </c>
      <c r="B186" s="10" t="inlineStr">
        <is>
          <t>Skills</t>
        </is>
      </c>
      <c r="C186" s="10" t="inlineStr">
        <is>
          <t>dogfood</t>
        </is>
      </c>
      <c r="D186" s="10" t="inlineStr">
        <is>
          <t>Manifest capability</t>
        </is>
      </c>
      <c r="E186" s="10" t="inlineStr">
        <is>
          <t>As a Kurultai operator, I want dogfood so that the system behaves predictably and safely.</t>
        </is>
      </c>
      <c r="F186" s="10" t="inlineStr">
        <is>
          <t>Exploratory QA of web apps: find bugs, evidence, reports.</t>
        </is>
      </c>
      <c r="G186" s="10" t="inlineStr">
        <is>
          <t>config/runtime-config/skills.manifest.json</t>
        </is>
      </c>
      <c r="H186" s="10" t="inlineStr">
        <is>
          <t>test_skill_manifest_has_metadata_for_every_declared_capability; local SKILL.md inventory</t>
        </is>
      </c>
      <c r="I186" s="10" t="inlineStr">
        <is>
          <t>Installed / contract verified</t>
        </is>
      </c>
      <c r="J186" s="10" t="inlineStr">
        <is>
          <t>No</t>
        </is>
      </c>
      <c r="K186" s="10" t="inlineStr">
        <is>
          <t>A local skill package with the same declared name is present.</t>
        </is>
      </c>
    </row>
    <row r="187" outlineLevel="1" ht="52" customHeight="1">
      <c r="A187" s="10" t="inlineStr">
        <is>
          <t>F-0186</t>
        </is>
      </c>
      <c r="B187" s="10" t="inlineStr">
        <is>
          <t>Skills</t>
        </is>
      </c>
      <c r="C187" s="10" t="inlineStr">
        <is>
          <t>evaluating-llms-harness</t>
        </is>
      </c>
      <c r="D187" s="10" t="inlineStr">
        <is>
          <t>Manifest capability</t>
        </is>
      </c>
      <c r="E187" s="10" t="inlineStr">
        <is>
          <t>As a Kurultai operator, I want evaluating-llms-harness so that the system behaves predictably and safely.</t>
        </is>
      </c>
      <c r="F187" s="10" t="inlineStr">
        <is>
          <t>Expose the declared evaluating-llms-harness capability when its package is available.</t>
        </is>
      </c>
      <c r="G187" s="10" t="inlineStr">
        <is>
          <t>config/runtime-config/skills.manifest.json</t>
        </is>
      </c>
      <c r="H187" s="10" t="inlineStr">
        <is>
          <t>test_skill_manifest_has_metadata_for_every_declared_capability; local SKILL.md inventory</t>
        </is>
      </c>
      <c r="I187" s="10" t="inlineStr">
        <is>
          <t>Declared; package unavailable</t>
        </is>
      </c>
      <c r="J187" s="10" t="inlineStr">
        <is>
          <t>Yes</t>
        </is>
      </c>
      <c r="K187" s="10" t="inlineStr">
        <is>
          <t>Declared path .archive/evaluating-llms-harness is not available locally.</t>
        </is>
      </c>
    </row>
    <row r="188" outlineLevel="1" ht="52" customHeight="1">
      <c r="A188" s="10" t="inlineStr">
        <is>
          <t>F-0187</t>
        </is>
      </c>
      <c r="B188" s="10" t="inlineStr">
        <is>
          <t>Skills</t>
        </is>
      </c>
      <c r="C188" s="10" t="inlineStr">
        <is>
          <t>excalidraw</t>
        </is>
      </c>
      <c r="D188" s="10" t="inlineStr">
        <is>
          <t>Manifest capability</t>
        </is>
      </c>
      <c r="E188" s="10" t="inlineStr">
        <is>
          <t>As a Kurultai operator, I want excalidraw so that the system behaves predictably and safely.</t>
        </is>
      </c>
      <c r="F188" s="10" t="inlineStr">
        <is>
          <t>Hand-drawn Excalidraw JSON diagrams (arch, flow, seq).</t>
        </is>
      </c>
      <c r="G188" s="10" t="inlineStr">
        <is>
          <t>config/runtime-config/skills.manifest.json</t>
        </is>
      </c>
      <c r="H188" s="10" t="inlineStr">
        <is>
          <t>test_skill_manifest_has_metadata_for_every_declared_capability; local SKILL.md inventory</t>
        </is>
      </c>
      <c r="I188" s="10" t="inlineStr">
        <is>
          <t>Installed / contract verified</t>
        </is>
      </c>
      <c r="J188" s="10" t="inlineStr">
        <is>
          <t>No</t>
        </is>
      </c>
      <c r="K188" s="10" t="inlineStr">
        <is>
          <t>A local skill package with the same declared name is present.</t>
        </is>
      </c>
    </row>
    <row r="189" outlineLevel="1" ht="52" customHeight="1">
      <c r="A189" s="10" t="inlineStr">
        <is>
          <t>F-0188</t>
        </is>
      </c>
      <c r="B189" s="10" t="inlineStr">
        <is>
          <t>Skills</t>
        </is>
      </c>
      <c r="C189" s="10" t="inlineStr">
        <is>
          <t>finance-expense-workflows</t>
        </is>
      </c>
      <c r="D189" s="10" t="inlineStr">
        <is>
          <t>Manifest capability</t>
        </is>
      </c>
      <c r="E189" s="10" t="inlineStr">
        <is>
          <t>As a Kurultai operator, I want finance-expense-workflows so that the system behaves predictably and safely.</t>
        </is>
      </c>
      <c r="F189" s="10" t="inlineStr">
        <is>
          <t>Prepare expense reports from banking/finance systems with strict credential hygiene, hard-private data handling, exports, receipts, and redacted summaries.</t>
        </is>
      </c>
      <c r="G189" s="10" t="inlineStr">
        <is>
          <t>config/runtime-config/skills.manifest.json</t>
        </is>
      </c>
      <c r="H189" s="10" t="inlineStr">
        <is>
          <t>test_skill_manifest_has_metadata_for_every_declared_capability; local SKILL.md inventory</t>
        </is>
      </c>
      <c r="I189" s="10" t="inlineStr">
        <is>
          <t>Declared; package unavailable</t>
        </is>
      </c>
      <c r="J189" s="10" t="inlineStr">
        <is>
          <t>Yes</t>
        </is>
      </c>
      <c r="K189" s="10" t="inlineStr">
        <is>
          <t>Declared path .archive/finance-expense-workflows is not available locally.</t>
        </is>
      </c>
    </row>
    <row r="190" outlineLevel="1" ht="52" customHeight="1">
      <c r="A190" s="10" t="inlineStr">
        <is>
          <t>F-0189</t>
        </is>
      </c>
      <c r="B190" s="10" t="inlineStr">
        <is>
          <t>Skills</t>
        </is>
      </c>
      <c r="C190" s="10" t="inlineStr">
        <is>
          <t>findmy</t>
        </is>
      </c>
      <c r="D190" s="10" t="inlineStr">
        <is>
          <t>Manifest capability</t>
        </is>
      </c>
      <c r="E190" s="10" t="inlineStr">
        <is>
          <t>As a Kurultai operator, I want findmy so that the system behaves predictably and safely.</t>
        </is>
      </c>
      <c r="F190" s="10" t="inlineStr">
        <is>
          <t>Track Apple devices/AirTags via FindMy.app on macOS.</t>
        </is>
      </c>
      <c r="G190" s="10" t="inlineStr">
        <is>
          <t>config/runtime-config/skills.manifest.json</t>
        </is>
      </c>
      <c r="H190" s="10" t="inlineStr">
        <is>
          <t>test_skill_manifest_has_metadata_for_every_declared_capability; local SKILL.md inventory</t>
        </is>
      </c>
      <c r="I190" s="10" t="inlineStr">
        <is>
          <t>Installed / contract verified</t>
        </is>
      </c>
      <c r="J190" s="10" t="inlineStr">
        <is>
          <t>No</t>
        </is>
      </c>
      <c r="K190" s="10" t="inlineStr">
        <is>
          <t>A local skill package with the same declared name is present.</t>
        </is>
      </c>
    </row>
    <row r="191" outlineLevel="1" ht="52" customHeight="1">
      <c r="A191" s="10" t="inlineStr">
        <is>
          <t>F-0190</t>
        </is>
      </c>
      <c r="B191" s="10" t="inlineStr">
        <is>
          <t>Skills</t>
        </is>
      </c>
      <c r="C191" s="10" t="inlineStr">
        <is>
          <t>gif-search</t>
        </is>
      </c>
      <c r="D191" s="10" t="inlineStr">
        <is>
          <t>Manifest capability</t>
        </is>
      </c>
      <c r="E191" s="10" t="inlineStr">
        <is>
          <t>As a Kurultai operator, I want gif-search so that the system behaves predictably and safely.</t>
        </is>
      </c>
      <c r="F191" s="10" t="inlineStr">
        <is>
          <t>Search/download GIFs from Tenor via curl + jq.</t>
        </is>
      </c>
      <c r="G191" s="10" t="inlineStr">
        <is>
          <t>config/runtime-config/skills.manifest.json</t>
        </is>
      </c>
      <c r="H191" s="10" t="inlineStr">
        <is>
          <t>test_skill_manifest_has_metadata_for_every_declared_capability; local SKILL.md inventory</t>
        </is>
      </c>
      <c r="I191" s="10" t="inlineStr">
        <is>
          <t>Installed / contract verified</t>
        </is>
      </c>
      <c r="J191" s="10" t="inlineStr">
        <is>
          <t>No</t>
        </is>
      </c>
      <c r="K191" s="10" t="inlineStr">
        <is>
          <t>A local skill package with the same declared name is present.</t>
        </is>
      </c>
    </row>
    <row r="192" outlineLevel="1" ht="52" customHeight="1">
      <c r="A192" s="10" t="inlineStr">
        <is>
          <t>F-0191</t>
        </is>
      </c>
      <c r="B192" s="10" t="inlineStr">
        <is>
          <t>Skills</t>
        </is>
      </c>
      <c r="C192" s="10" t="inlineStr">
        <is>
          <t>github-auth</t>
        </is>
      </c>
      <c r="D192" s="10" t="inlineStr">
        <is>
          <t>Manifest capability</t>
        </is>
      </c>
      <c r="E192" s="10" t="inlineStr">
        <is>
          <t>As a Kurultai operator, I want github-auth so that the system behaves predictably and safely.</t>
        </is>
      </c>
      <c r="F192" s="10" t="inlineStr">
        <is>
          <t>GitHub auth setup: HTTPS tokens, SSH keys, gh CLI login.</t>
        </is>
      </c>
      <c r="G192" s="10" t="inlineStr">
        <is>
          <t>config/runtime-config/skills.manifest.json</t>
        </is>
      </c>
      <c r="H192" s="10" t="inlineStr">
        <is>
          <t>test_skill_manifest_has_metadata_for_every_declared_capability; local SKILL.md inventory</t>
        </is>
      </c>
      <c r="I192" s="10" t="inlineStr">
        <is>
          <t>Installed / contract verified</t>
        </is>
      </c>
      <c r="J192" s="10" t="inlineStr">
        <is>
          <t>No</t>
        </is>
      </c>
      <c r="K192" s="10" t="inlineStr">
        <is>
          <t>A local skill package with the same declared name is present.</t>
        </is>
      </c>
    </row>
    <row r="193" outlineLevel="1" ht="52" customHeight="1">
      <c r="A193" s="10" t="inlineStr">
        <is>
          <t>F-0192</t>
        </is>
      </c>
      <c r="B193" s="10" t="inlineStr">
        <is>
          <t>Skills</t>
        </is>
      </c>
      <c r="C193" s="10" t="inlineStr">
        <is>
          <t>github-code-review</t>
        </is>
      </c>
      <c r="D193" s="10" t="inlineStr">
        <is>
          <t>Manifest capability</t>
        </is>
      </c>
      <c r="E193" s="10" t="inlineStr">
        <is>
          <t>As a Kurultai operator, I want github-code-review so that the system behaves predictably and safely.</t>
        </is>
      </c>
      <c r="F193" s="10" t="inlineStr">
        <is>
          <t>Review PRs: diffs, inline comments via gh or REST.</t>
        </is>
      </c>
      <c r="G193" s="10" t="inlineStr">
        <is>
          <t>config/runtime-config/skills.manifest.json</t>
        </is>
      </c>
      <c r="H193" s="10" t="inlineStr">
        <is>
          <t>test_skill_manifest_has_metadata_for_every_declared_capability; local SKILL.md inventory</t>
        </is>
      </c>
      <c r="I193" s="10" t="inlineStr">
        <is>
          <t>Installed / contract verified</t>
        </is>
      </c>
      <c r="J193" s="10" t="inlineStr">
        <is>
          <t>No</t>
        </is>
      </c>
      <c r="K193" s="10" t="inlineStr">
        <is>
          <t>A local skill package with the same declared name is present.</t>
        </is>
      </c>
    </row>
    <row r="194" outlineLevel="1" ht="52" customHeight="1">
      <c r="A194" s="10" t="inlineStr">
        <is>
          <t>F-0193</t>
        </is>
      </c>
      <c r="B194" s="10" t="inlineStr">
        <is>
          <t>Skills</t>
        </is>
      </c>
      <c r="C194" s="10" t="inlineStr">
        <is>
          <t>github-issues</t>
        </is>
      </c>
      <c r="D194" s="10" t="inlineStr">
        <is>
          <t>Manifest capability</t>
        </is>
      </c>
      <c r="E194" s="10" t="inlineStr">
        <is>
          <t>As a Kurultai operator, I want github-issues so that the system behaves predictably and safely.</t>
        </is>
      </c>
      <c r="F194" s="10" t="inlineStr">
        <is>
          <t>Create, triage, label, assign GitHub issues via gh or REST.</t>
        </is>
      </c>
      <c r="G194" s="10" t="inlineStr">
        <is>
          <t>config/runtime-config/skills.manifest.json</t>
        </is>
      </c>
      <c r="H194" s="10" t="inlineStr">
        <is>
          <t>test_skill_manifest_has_metadata_for_every_declared_capability; local SKILL.md inventory</t>
        </is>
      </c>
      <c r="I194" s="10" t="inlineStr">
        <is>
          <t>Installed / contract verified</t>
        </is>
      </c>
      <c r="J194" s="10" t="inlineStr">
        <is>
          <t>No</t>
        </is>
      </c>
      <c r="K194" s="10" t="inlineStr">
        <is>
          <t>A local skill package with the same declared name is present.</t>
        </is>
      </c>
    </row>
    <row r="195" outlineLevel="1" ht="52" customHeight="1">
      <c r="A195" s="10" t="inlineStr">
        <is>
          <t>F-0194</t>
        </is>
      </c>
      <c r="B195" s="10" t="inlineStr">
        <is>
          <t>Skills</t>
        </is>
      </c>
      <c r="C195" s="10" t="inlineStr">
        <is>
          <t>github-pr-workflow</t>
        </is>
      </c>
      <c r="D195" s="10" t="inlineStr">
        <is>
          <t>Manifest capability</t>
        </is>
      </c>
      <c r="E195" s="10" t="inlineStr">
        <is>
          <t>As a Kurultai operator, I want github-pr-workflow so that the system behaves predictably and safely.</t>
        </is>
      </c>
      <c r="F195" s="10" t="inlineStr">
        <is>
          <t>GitHub PR lifecycle: branch, commit, open, CI, merge.</t>
        </is>
      </c>
      <c r="G195" s="10" t="inlineStr">
        <is>
          <t>config/runtime-config/skills.manifest.json</t>
        </is>
      </c>
      <c r="H195" s="10" t="inlineStr">
        <is>
          <t>test_skill_manifest_has_metadata_for_every_declared_capability; local SKILL.md inventory</t>
        </is>
      </c>
      <c r="I195" s="10" t="inlineStr">
        <is>
          <t>Installed / contract verified</t>
        </is>
      </c>
      <c r="J195" s="10" t="inlineStr">
        <is>
          <t>No</t>
        </is>
      </c>
      <c r="K195" s="10" t="inlineStr">
        <is>
          <t>A local skill package with the same declared name is present.</t>
        </is>
      </c>
    </row>
    <row r="196" outlineLevel="1" ht="52" customHeight="1">
      <c r="A196" s="10" t="inlineStr">
        <is>
          <t>F-0195</t>
        </is>
      </c>
      <c r="B196" s="10" t="inlineStr">
        <is>
          <t>Skills</t>
        </is>
      </c>
      <c r="C196" s="10" t="inlineStr">
        <is>
          <t>github-repo-management</t>
        </is>
      </c>
      <c r="D196" s="10" t="inlineStr">
        <is>
          <t>Manifest capability</t>
        </is>
      </c>
      <c r="E196" s="10" t="inlineStr">
        <is>
          <t>As a Kurultai operator, I want github-repo-management so that the system behaves predictably and safely.</t>
        </is>
      </c>
      <c r="F196" s="10" t="inlineStr">
        <is>
          <t>Clone/create/fork repos; manage remotes, releases.</t>
        </is>
      </c>
      <c r="G196" s="10" t="inlineStr">
        <is>
          <t>config/runtime-config/skills.manifest.json</t>
        </is>
      </c>
      <c r="H196" s="10" t="inlineStr">
        <is>
          <t>test_skill_manifest_has_metadata_for_every_declared_capability; local SKILL.md inventory</t>
        </is>
      </c>
      <c r="I196" s="10" t="inlineStr">
        <is>
          <t>Installed / contract verified</t>
        </is>
      </c>
      <c r="J196" s="10" t="inlineStr">
        <is>
          <t>No</t>
        </is>
      </c>
      <c r="K196" s="10" t="inlineStr">
        <is>
          <t>A local skill package with the same declared name is present.</t>
        </is>
      </c>
    </row>
    <row r="197" outlineLevel="1" ht="52" customHeight="1">
      <c r="A197" s="10" t="inlineStr">
        <is>
          <t>F-0196</t>
        </is>
      </c>
      <c r="B197" s="10" t="inlineStr">
        <is>
          <t>Skills</t>
        </is>
      </c>
      <c r="C197" s="10" t="inlineStr">
        <is>
          <t>godmode</t>
        </is>
      </c>
      <c r="D197" s="10" t="inlineStr">
        <is>
          <t>Manifest capability</t>
        </is>
      </c>
      <c r="E197" s="10" t="inlineStr">
        <is>
          <t>As a Kurultai operator, I want godmode so that the system behaves predictably and safely.</t>
        </is>
      </c>
      <c r="F197" s="10" t="inlineStr">
        <is>
          <t>Jailbreak LLMs: Parseltongue, GODMODE, ULTRAPLINIAN.</t>
        </is>
      </c>
      <c r="G197" s="10" t="inlineStr">
        <is>
          <t>config/runtime-config/skills.manifest.json</t>
        </is>
      </c>
      <c r="H197" s="10" t="inlineStr">
        <is>
          <t>test_skill_manifest_has_metadata_for_every_declared_capability; local SKILL.md inventory</t>
        </is>
      </c>
      <c r="I197" s="10" t="inlineStr">
        <is>
          <t>Installed / contract verified</t>
        </is>
      </c>
      <c r="J197" s="10" t="inlineStr">
        <is>
          <t>No</t>
        </is>
      </c>
      <c r="K197" s="10" t="inlineStr">
        <is>
          <t>A local skill package with the same declared name is present.</t>
        </is>
      </c>
    </row>
    <row r="198" outlineLevel="1" ht="52" customHeight="1">
      <c r="A198" s="10" t="inlineStr">
        <is>
          <t>F-0197</t>
        </is>
      </c>
      <c r="B198" s="10" t="inlineStr">
        <is>
          <t>Skills</t>
        </is>
      </c>
      <c r="C198" s="10" t="inlineStr">
        <is>
          <t>google-workspace</t>
        </is>
      </c>
      <c r="D198" s="10" t="inlineStr">
        <is>
          <t>Manifest capability</t>
        </is>
      </c>
      <c r="E198" s="10" t="inlineStr">
        <is>
          <t>As a Kurultai operator, I want google-workspace so that the system behaves predictably and safely.</t>
        </is>
      </c>
      <c r="F198" s="10" t="inlineStr">
        <is>
          <t>Gmail, Calendar, Drive, Docs, Sheets via gws CLI or Python.</t>
        </is>
      </c>
      <c r="G198" s="10" t="inlineStr">
        <is>
          <t>config/runtime-config/skills.manifest.json</t>
        </is>
      </c>
      <c r="H198" s="10" t="inlineStr">
        <is>
          <t>test_skill_manifest_has_metadata_for_every_declared_capability; local SKILL.md inventory</t>
        </is>
      </c>
      <c r="I198" s="10" t="inlineStr">
        <is>
          <t>Installed / contract verified</t>
        </is>
      </c>
      <c r="J198" s="10" t="inlineStr">
        <is>
          <t>No</t>
        </is>
      </c>
      <c r="K198" s="10" t="inlineStr">
        <is>
          <t>A local skill package with the same declared name is present.</t>
        </is>
      </c>
    </row>
    <row r="199" outlineLevel="1" ht="52" customHeight="1">
      <c r="A199" s="10" t="inlineStr">
        <is>
          <t>F-0198</t>
        </is>
      </c>
      <c r="B199" s="10" t="inlineStr">
        <is>
          <t>Skills</t>
        </is>
      </c>
      <c r="C199" s="10" t="inlineStr">
        <is>
          <t>heartmula</t>
        </is>
      </c>
      <c r="D199" s="10" t="inlineStr">
        <is>
          <t>Manifest capability</t>
        </is>
      </c>
      <c r="E199" s="10" t="inlineStr">
        <is>
          <t>As a Kurultai operator, I want heartmula so that the system behaves predictably and safely.</t>
        </is>
      </c>
      <c r="F199" s="10" t="inlineStr">
        <is>
          <t>HeartMuLa: Suno-like song generation from lyrics + tags.</t>
        </is>
      </c>
      <c r="G199" s="10" t="inlineStr">
        <is>
          <t>config/runtime-config/skills.manifest.json</t>
        </is>
      </c>
      <c r="H199" s="10" t="inlineStr">
        <is>
          <t>test_skill_manifest_has_metadata_for_every_declared_capability; local SKILL.md inventory</t>
        </is>
      </c>
      <c r="I199" s="10" t="inlineStr">
        <is>
          <t>Installed / contract verified</t>
        </is>
      </c>
      <c r="J199" s="10" t="inlineStr">
        <is>
          <t>No</t>
        </is>
      </c>
      <c r="K199" s="10" t="inlineStr">
        <is>
          <t>A local skill package with the same declared name is present.</t>
        </is>
      </c>
    </row>
    <row r="200" outlineLevel="1" ht="52" customHeight="1">
      <c r="A200" s="10" t="inlineStr">
        <is>
          <t>F-0199</t>
        </is>
      </c>
      <c r="B200" s="10" t="inlineStr">
        <is>
          <t>Skills</t>
        </is>
      </c>
      <c r="C200" s="10" t="inlineStr">
        <is>
          <t>hermes-agent-skill-authoring</t>
        </is>
      </c>
      <c r="D200" s="10" t="inlineStr">
        <is>
          <t>Manifest capability</t>
        </is>
      </c>
      <c r="E200" s="10" t="inlineStr">
        <is>
          <t>As a Kurultai operator, I want hermes-agent-skill-authoring so that the system behaves predictably and safely.</t>
        </is>
      </c>
      <c r="F200" s="10" t="inlineStr">
        <is>
          <t>Author in-repo SKILL.md: frontmatter, validator, structure.</t>
        </is>
      </c>
      <c r="G200" s="10" t="inlineStr">
        <is>
          <t>config/runtime-config/skills.manifest.json</t>
        </is>
      </c>
      <c r="H200" s="10" t="inlineStr">
        <is>
          <t>test_skill_manifest_has_metadata_for_every_declared_capability; local SKILL.md inventory</t>
        </is>
      </c>
      <c r="I200" s="10" t="inlineStr">
        <is>
          <t>Installed / contract verified</t>
        </is>
      </c>
      <c r="J200" s="10" t="inlineStr">
        <is>
          <t>No</t>
        </is>
      </c>
      <c r="K200" s="10" t="inlineStr">
        <is>
          <t>A local skill package with the same declared name is present.</t>
        </is>
      </c>
    </row>
    <row r="201" outlineLevel="1" ht="52" customHeight="1">
      <c r="A201" s="10" t="inlineStr">
        <is>
          <t>F-0200</t>
        </is>
      </c>
      <c r="B201" s="10" t="inlineStr">
        <is>
          <t>Skills</t>
        </is>
      </c>
      <c r="C201" s="10" t="inlineStr">
        <is>
          <t>himalaya</t>
        </is>
      </c>
      <c r="D201" s="10" t="inlineStr">
        <is>
          <t>Manifest capability</t>
        </is>
      </c>
      <c r="E201" s="10" t="inlineStr">
        <is>
          <t>As a Kurultai operator, I want himalaya so that the system behaves predictably and safely.</t>
        </is>
      </c>
      <c r="F201" s="10" t="inlineStr">
        <is>
          <t>Himalaya CLI: IMAP/SMTP email from terminal.</t>
        </is>
      </c>
      <c r="G201" s="10" t="inlineStr">
        <is>
          <t>config/runtime-config/skills.manifest.json</t>
        </is>
      </c>
      <c r="H201" s="10" t="inlineStr">
        <is>
          <t>test_skill_manifest_has_metadata_for_every_declared_capability; local SKILL.md inventory</t>
        </is>
      </c>
      <c r="I201" s="10" t="inlineStr">
        <is>
          <t>Installed / contract verified</t>
        </is>
      </c>
      <c r="J201" s="10" t="inlineStr">
        <is>
          <t>No</t>
        </is>
      </c>
      <c r="K201" s="10" t="inlineStr">
        <is>
          <t>A local skill package with the same declared name is present.</t>
        </is>
      </c>
    </row>
    <row r="202" outlineLevel="1" ht="52" customHeight="1">
      <c r="A202" s="10" t="inlineStr">
        <is>
          <t>F-0201</t>
        </is>
      </c>
      <c r="B202" s="10" t="inlineStr">
        <is>
          <t>Skills</t>
        </is>
      </c>
      <c r="C202" s="10" t="inlineStr">
        <is>
          <t>huggingface-hub</t>
        </is>
      </c>
      <c r="D202" s="10" t="inlineStr">
        <is>
          <t>Manifest capability</t>
        </is>
      </c>
      <c r="E202" s="10" t="inlineStr">
        <is>
          <t>As a Kurultai operator, I want huggingface-hub so that the system behaves predictably and safely.</t>
        </is>
      </c>
      <c r="F202" s="10" t="inlineStr">
        <is>
          <t>HuggingFace hf CLI: search/download/upload models, datasets.</t>
        </is>
      </c>
      <c r="G202" s="10" t="inlineStr">
        <is>
          <t>config/runtime-config/skills.manifest.json</t>
        </is>
      </c>
      <c r="H202" s="10" t="inlineStr">
        <is>
          <t>test_skill_manifest_has_metadata_for_every_declared_capability; local SKILL.md inventory</t>
        </is>
      </c>
      <c r="I202" s="10" t="inlineStr">
        <is>
          <t>Installed / contract verified</t>
        </is>
      </c>
      <c r="J202" s="10" t="inlineStr">
        <is>
          <t>No</t>
        </is>
      </c>
      <c r="K202" s="10" t="inlineStr">
        <is>
          <t>A local skill package with the same declared name is present.</t>
        </is>
      </c>
    </row>
    <row r="203" outlineLevel="1" ht="52" customHeight="1">
      <c r="A203" s="10" t="inlineStr">
        <is>
          <t>F-0202</t>
        </is>
      </c>
      <c r="B203" s="10" t="inlineStr">
        <is>
          <t>Skills</t>
        </is>
      </c>
      <c r="C203" s="10" t="inlineStr">
        <is>
          <t>humanizer</t>
        </is>
      </c>
      <c r="D203" s="10" t="inlineStr">
        <is>
          <t>Manifest capability</t>
        </is>
      </c>
      <c r="E203" s="10" t="inlineStr">
        <is>
          <t>As a Kurultai operator, I want humanizer so that the system behaves predictably and safely.</t>
        </is>
      </c>
      <c r="F203" s="10" t="inlineStr">
        <is>
          <t>Expose the declared humanizer capability when its package is available.</t>
        </is>
      </c>
      <c r="G203" s="10" t="inlineStr">
        <is>
          <t>config/runtime-config/skills.manifest.json</t>
        </is>
      </c>
      <c r="H203" s="10" t="inlineStr">
        <is>
          <t>test_skill_manifest_has_metadata_for_every_declared_capability; local SKILL.md inventory</t>
        </is>
      </c>
      <c r="I203" s="10" t="inlineStr">
        <is>
          <t>Installed / contract verified</t>
        </is>
      </c>
      <c r="J203" s="10" t="inlineStr">
        <is>
          <t>No</t>
        </is>
      </c>
      <c r="K203" s="10" t="inlineStr">
        <is>
          <t>A local skill package with the same declared name is present.</t>
        </is>
      </c>
    </row>
    <row r="204" outlineLevel="1" ht="52" customHeight="1">
      <c r="A204" s="10" t="inlineStr">
        <is>
          <t>F-0203</t>
        </is>
      </c>
      <c r="B204" s="10" t="inlineStr">
        <is>
          <t>Skills</t>
        </is>
      </c>
      <c r="C204" s="10" t="inlineStr">
        <is>
          <t>imessage</t>
        </is>
      </c>
      <c r="D204" s="10" t="inlineStr">
        <is>
          <t>Manifest capability</t>
        </is>
      </c>
      <c r="E204" s="10" t="inlineStr">
        <is>
          <t>As a Kurultai operator, I want imessage so that the system behaves predictably and safely.</t>
        </is>
      </c>
      <c r="F204" s="10" t="inlineStr">
        <is>
          <t>Send and receive iMessages/SMS via the imsg CLI on macOS.</t>
        </is>
      </c>
      <c r="G204" s="10" t="inlineStr">
        <is>
          <t>config/runtime-config/skills.manifest.json</t>
        </is>
      </c>
      <c r="H204" s="10" t="inlineStr">
        <is>
          <t>test_skill_manifest_has_metadata_for_every_declared_capability; local SKILL.md inventory</t>
        </is>
      </c>
      <c r="I204" s="10" t="inlineStr">
        <is>
          <t>Installed / contract verified</t>
        </is>
      </c>
      <c r="J204" s="10" t="inlineStr">
        <is>
          <t>No</t>
        </is>
      </c>
      <c r="K204" s="10" t="inlineStr">
        <is>
          <t>A local skill package with the same declared name is present.</t>
        </is>
      </c>
    </row>
    <row r="205" outlineLevel="1" ht="52" customHeight="1">
      <c r="A205" s="10" t="inlineStr">
        <is>
          <t>F-0204</t>
        </is>
      </c>
      <c r="B205" s="10" t="inlineStr">
        <is>
          <t>Skills</t>
        </is>
      </c>
      <c r="C205" s="10" t="inlineStr">
        <is>
          <t>jupyter-live-kernel</t>
        </is>
      </c>
      <c r="D205" s="10" t="inlineStr">
        <is>
          <t>Manifest capability</t>
        </is>
      </c>
      <c r="E205" s="10" t="inlineStr">
        <is>
          <t>As a Kurultai operator, I want jupyter-live-kernel so that the system behaves predictably and safely.</t>
        </is>
      </c>
      <c r="F205" s="10" t="inlineStr">
        <is>
          <t>Iterative Python via live Jupyter kernel (hamelnb).</t>
        </is>
      </c>
      <c r="G205" s="10" t="inlineStr">
        <is>
          <t>config/runtime-config/skills.manifest.json</t>
        </is>
      </c>
      <c r="H205" s="10" t="inlineStr">
        <is>
          <t>test_skill_manifest_has_metadata_for_every_declared_capability; local SKILL.md inventory</t>
        </is>
      </c>
      <c r="I205" s="10" t="inlineStr">
        <is>
          <t>Installed / contract verified</t>
        </is>
      </c>
      <c r="J205" s="10" t="inlineStr">
        <is>
          <t>No</t>
        </is>
      </c>
      <c r="K205" s="10" t="inlineStr">
        <is>
          <t>A local skill package with the same declared name is present.</t>
        </is>
      </c>
    </row>
    <row r="206" outlineLevel="1" ht="52" customHeight="1">
      <c r="A206" s="10" t="inlineStr">
        <is>
          <t>F-0205</t>
        </is>
      </c>
      <c r="B206" s="10" t="inlineStr">
        <is>
          <t>Skills</t>
        </is>
      </c>
      <c r="C206" s="10" t="inlineStr">
        <is>
          <t>kanban-orchestrator</t>
        </is>
      </c>
      <c r="D206" s="10" t="inlineStr">
        <is>
          <t>Manifest capability</t>
        </is>
      </c>
      <c r="E206" s="10" t="inlineStr">
        <is>
          <t>As a Kurultai operator, I want kanban-orchestrator so that the system behaves predictably and safely.</t>
        </is>
      </c>
      <c r="F206" s="10" t="inlineStr">
        <is>
          <t>Decomposition playbook + anti-temptation rules for an orchestrator profile routing work through Kanban. The "don't do the work yourself" rule and the basic lifecycle are auto-injected into every kanban worker's system prompt; this skill is the deeper playbook when you're specifically playing the orchestrator role.</t>
        </is>
      </c>
      <c r="G206" s="10" t="inlineStr">
        <is>
          <t>config/runtime-config/skills.manifest.json</t>
        </is>
      </c>
      <c r="H206" s="10" t="inlineStr">
        <is>
          <t>test_skill_manifest_has_metadata_for_every_declared_capability; local SKILL.md inventory</t>
        </is>
      </c>
      <c r="I206" s="10" t="inlineStr">
        <is>
          <t>Declared; package unavailable</t>
        </is>
      </c>
      <c r="J206" s="10" t="inlineStr">
        <is>
          <t>Yes</t>
        </is>
      </c>
      <c r="K206" s="10" t="inlineStr">
        <is>
          <t>Declared path .archive/kanban-orchestrator is not available locally.</t>
        </is>
      </c>
    </row>
    <row r="207" outlineLevel="1" ht="52" customHeight="1">
      <c r="A207" s="10" t="inlineStr">
        <is>
          <t>F-0206</t>
        </is>
      </c>
      <c r="B207" s="10" t="inlineStr">
        <is>
          <t>Skills</t>
        </is>
      </c>
      <c r="C207" s="10" t="inlineStr">
        <is>
          <t>kanban-worker</t>
        </is>
      </c>
      <c r="D207" s="10" t="inlineStr">
        <is>
          <t>Manifest capability</t>
        </is>
      </c>
      <c r="E207" s="10" t="inlineStr">
        <is>
          <t>As a Kurultai operator, I want kanban-worker so that the system behaves predictably and safely.</t>
        </is>
      </c>
      <c r="F207" s="10" t="inlineStr">
        <is>
          <t>Pitfalls, examples, and edge cases for Hermes Kanban workers. The lifecycle itself is auto-injected into every worker's system prompt as KANBAN_GUIDANCE (from agent/prompt_builder.py); this skill is what you load when you want deeper detail on specific scenarios.</t>
        </is>
      </c>
      <c r="G207" s="10" t="inlineStr">
        <is>
          <t>config/runtime-config/skills.manifest.json</t>
        </is>
      </c>
      <c r="H207" s="10" t="inlineStr">
        <is>
          <t>test_skill_manifest_has_metadata_for_every_declared_capability; local SKILL.md inventory</t>
        </is>
      </c>
      <c r="I207" s="10" t="inlineStr">
        <is>
          <t>Declared; package unavailable</t>
        </is>
      </c>
      <c r="J207" s="10" t="inlineStr">
        <is>
          <t>Yes</t>
        </is>
      </c>
      <c r="K207" s="10" t="inlineStr">
        <is>
          <t>Declared path .archive/kanban-worker is not available locally.</t>
        </is>
      </c>
    </row>
    <row r="208" outlineLevel="1" ht="52" customHeight="1">
      <c r="A208" s="10" t="inlineStr">
        <is>
          <t>F-0207</t>
        </is>
      </c>
      <c r="B208" s="10" t="inlineStr">
        <is>
          <t>Skills</t>
        </is>
      </c>
      <c r="C208" s="10" t="inlineStr">
        <is>
          <t>kurultai-caretaker</t>
        </is>
      </c>
      <c r="D208" s="10" t="inlineStr">
        <is>
          <t>Manifest capability</t>
        </is>
      </c>
      <c r="E208" s="10" t="inlineStr">
        <is>
          <t>As a Kurultai operator, I want kurultai-caretaker so that the system behaves predictably and safely.</t>
        </is>
      </c>
      <c r="F208" s="10" t="inlineStr">
        <is>
          <t>Primary always-on objective. Maintain the Kurultai OpenClaw implementation. Replaces the custom Hermes custodian.</t>
        </is>
      </c>
      <c r="G208" s="10" t="inlineStr">
        <is>
          <t>config/runtime-config/skills.manifest.json</t>
        </is>
      </c>
      <c r="H208" s="10" t="inlineStr">
        <is>
          <t>test_skill_manifest_has_metadata_for_every_declared_capability; local SKILL.md inventory</t>
        </is>
      </c>
      <c r="I208" s="10" t="inlineStr">
        <is>
          <t>Declared; package unavailable</t>
        </is>
      </c>
      <c r="J208" s="10" t="inlineStr">
        <is>
          <t>Yes</t>
        </is>
      </c>
      <c r="K208" s="10" t="inlineStr">
        <is>
          <t>Declared path .archive/kurultai-caretaker is not available locally.</t>
        </is>
      </c>
    </row>
    <row r="209" outlineLevel="1" ht="52" customHeight="1">
      <c r="A209" s="10" t="inlineStr">
        <is>
          <t>F-0208</t>
        </is>
      </c>
      <c r="B209" s="10" t="inlineStr">
        <is>
          <t>Skills</t>
        </is>
      </c>
      <c r="C209" s="10" t="inlineStr">
        <is>
          <t>llama-cpp</t>
        </is>
      </c>
      <c r="D209" s="10" t="inlineStr">
        <is>
          <t>Manifest capability</t>
        </is>
      </c>
      <c r="E209" s="10" t="inlineStr">
        <is>
          <t>As a Kurultai operator, I want llama-cpp so that the system behaves predictably and safely.</t>
        </is>
      </c>
      <c r="F209" s="10" t="inlineStr">
        <is>
          <t>llama.cpp local GGUF inference + HF Hub model discovery.</t>
        </is>
      </c>
      <c r="G209" s="10" t="inlineStr">
        <is>
          <t>config/runtime-config/skills.manifest.json</t>
        </is>
      </c>
      <c r="H209" s="10" t="inlineStr">
        <is>
          <t>test_skill_manifest_has_metadata_for_every_declared_capability; local SKILL.md inventory</t>
        </is>
      </c>
      <c r="I209" s="10" t="inlineStr">
        <is>
          <t>Installed / contract verified</t>
        </is>
      </c>
      <c r="J209" s="10" t="inlineStr">
        <is>
          <t>No</t>
        </is>
      </c>
      <c r="K209" s="10" t="inlineStr">
        <is>
          <t>A local skill package with the same declared name is present.</t>
        </is>
      </c>
    </row>
    <row r="210" outlineLevel="1" ht="52" customHeight="1">
      <c r="A210" s="10" t="inlineStr">
        <is>
          <t>F-0209</t>
        </is>
      </c>
      <c r="B210" s="10" t="inlineStr">
        <is>
          <t>Skills</t>
        </is>
      </c>
      <c r="C210" s="10" t="inlineStr">
        <is>
          <t>llm-wiki</t>
        </is>
      </c>
      <c r="D210" s="10" t="inlineStr">
        <is>
          <t>Manifest capability</t>
        </is>
      </c>
      <c r="E210" s="10" t="inlineStr">
        <is>
          <t>As a Kurultai operator, I want llm-wiki so that the system behaves predictably and safely.</t>
        </is>
      </c>
      <c r="F210" s="10" t="inlineStr">
        <is>
          <t>Karpathy's LLM Wiki: build/query interlinked markdown KB.</t>
        </is>
      </c>
      <c r="G210" s="10" t="inlineStr">
        <is>
          <t>config/runtime-config/skills.manifest.json</t>
        </is>
      </c>
      <c r="H210" s="10" t="inlineStr">
        <is>
          <t>test_skill_manifest_has_metadata_for_every_declared_capability; local SKILL.md inventory</t>
        </is>
      </c>
      <c r="I210" s="10" t="inlineStr">
        <is>
          <t>Installed / contract verified</t>
        </is>
      </c>
      <c r="J210" s="10" t="inlineStr">
        <is>
          <t>No</t>
        </is>
      </c>
      <c r="K210" s="10" t="inlineStr">
        <is>
          <t>A local skill package with the same declared name is present.</t>
        </is>
      </c>
    </row>
    <row r="211" outlineLevel="1" ht="52" customHeight="1">
      <c r="A211" s="10" t="inlineStr">
        <is>
          <t>F-0210</t>
        </is>
      </c>
      <c r="B211" s="10" t="inlineStr">
        <is>
          <t>Skills</t>
        </is>
      </c>
      <c r="C211" s="10" t="inlineStr">
        <is>
          <t>macos-computer-use</t>
        </is>
      </c>
      <c r="D211" s="10" t="inlineStr">
        <is>
          <t>Manifest capability</t>
        </is>
      </c>
      <c r="E211" s="10" t="inlineStr">
        <is>
          <t>As a Kurultai operator, I want macos-computer-use so that the system behaves predictably and safely.</t>
        </is>
      </c>
      <c r="F211" s="10" t="inlineStr">
        <is>
          <t>|</t>
        </is>
      </c>
      <c r="G211" s="10" t="inlineStr">
        <is>
          <t>config/runtime-config/skills.manifest.json</t>
        </is>
      </c>
      <c r="H211" s="10" t="inlineStr">
        <is>
          <t>test_skill_manifest_has_metadata_for_every_declared_capability; local SKILL.md inventory</t>
        </is>
      </c>
      <c r="I211" s="10" t="inlineStr">
        <is>
          <t>Declared; package unavailable</t>
        </is>
      </c>
      <c r="J211" s="10" t="inlineStr">
        <is>
          <t>Yes</t>
        </is>
      </c>
      <c r="K211" s="10" t="inlineStr">
        <is>
          <t>Declared path .archive/macos-computer-use is not available locally.</t>
        </is>
      </c>
    </row>
    <row r="212" outlineLevel="1" ht="52" customHeight="1">
      <c r="A212" s="10" t="inlineStr">
        <is>
          <t>F-0211</t>
        </is>
      </c>
      <c r="B212" s="10" t="inlineStr">
        <is>
          <t>Skills</t>
        </is>
      </c>
      <c r="C212" s="10" t="inlineStr">
        <is>
          <t>manim-video</t>
        </is>
      </c>
      <c r="D212" s="10" t="inlineStr">
        <is>
          <t>Manifest capability</t>
        </is>
      </c>
      <c r="E212" s="10" t="inlineStr">
        <is>
          <t>As a Kurultai operator, I want manim-video so that the system behaves predictably and safely.</t>
        </is>
      </c>
      <c r="F212" s="10" t="inlineStr">
        <is>
          <t>Manim CE animations: 3Blue1Brown math/algo videos.</t>
        </is>
      </c>
      <c r="G212" s="10" t="inlineStr">
        <is>
          <t>config/runtime-config/skills.manifest.json</t>
        </is>
      </c>
      <c r="H212" s="10" t="inlineStr">
        <is>
          <t>test_skill_manifest_has_metadata_for_every_declared_capability; local SKILL.md inventory</t>
        </is>
      </c>
      <c r="I212" s="10" t="inlineStr">
        <is>
          <t>Installed / contract verified</t>
        </is>
      </c>
      <c r="J212" s="10" t="inlineStr">
        <is>
          <t>No</t>
        </is>
      </c>
      <c r="K212" s="10" t="inlineStr">
        <is>
          <t>A local skill package with the same declared name is present.</t>
        </is>
      </c>
    </row>
    <row r="213" outlineLevel="1" ht="52" customHeight="1">
      <c r="A213" s="10" t="inlineStr">
        <is>
          <t>F-0212</t>
        </is>
      </c>
      <c r="B213" s="10" t="inlineStr">
        <is>
          <t>Skills</t>
        </is>
      </c>
      <c r="C213" s="10" t="inlineStr">
        <is>
          <t>maps</t>
        </is>
      </c>
      <c r="D213" s="10" t="inlineStr">
        <is>
          <t>Manifest capability</t>
        </is>
      </c>
      <c r="E213" s="10" t="inlineStr">
        <is>
          <t>As a Kurultai operator, I want maps so that the system behaves predictably and safely.</t>
        </is>
      </c>
      <c r="F213" s="10" t="inlineStr">
        <is>
          <t>Geocode, POIs, routes, timezones via OpenStreetMap/OSRM.</t>
        </is>
      </c>
      <c r="G213" s="10" t="inlineStr">
        <is>
          <t>config/runtime-config/skills.manifest.json</t>
        </is>
      </c>
      <c r="H213" s="10" t="inlineStr">
        <is>
          <t>test_skill_manifest_has_metadata_for_every_declared_capability; local SKILL.md inventory</t>
        </is>
      </c>
      <c r="I213" s="10" t="inlineStr">
        <is>
          <t>Installed / contract verified</t>
        </is>
      </c>
      <c r="J213" s="10" t="inlineStr">
        <is>
          <t>No</t>
        </is>
      </c>
      <c r="K213" s="10" t="inlineStr">
        <is>
          <t>A local skill package with the same declared name is present.</t>
        </is>
      </c>
    </row>
    <row r="214" outlineLevel="1" ht="52" customHeight="1">
      <c r="A214" s="10" t="inlineStr">
        <is>
          <t>F-0213</t>
        </is>
      </c>
      <c r="B214" s="10" t="inlineStr">
        <is>
          <t>Skills</t>
        </is>
      </c>
      <c r="C214" s="10" t="inlineStr">
        <is>
          <t>nano-pdf</t>
        </is>
      </c>
      <c r="D214" s="10" t="inlineStr">
        <is>
          <t>Manifest capability</t>
        </is>
      </c>
      <c r="E214" s="10" t="inlineStr">
        <is>
          <t>As a Kurultai operator, I want nano-pdf so that the system behaves predictably and safely.</t>
        </is>
      </c>
      <c r="F214" s="10" t="inlineStr">
        <is>
          <t>Edit PDF text/typos/titles via nano-pdf CLI (NL prompts).</t>
        </is>
      </c>
      <c r="G214" s="10" t="inlineStr">
        <is>
          <t>config/runtime-config/skills.manifest.json</t>
        </is>
      </c>
      <c r="H214" s="10" t="inlineStr">
        <is>
          <t>test_skill_manifest_has_metadata_for_every_declared_capability; local SKILL.md inventory</t>
        </is>
      </c>
      <c r="I214" s="10" t="inlineStr">
        <is>
          <t>Installed / contract verified</t>
        </is>
      </c>
      <c r="J214" s="10" t="inlineStr">
        <is>
          <t>No</t>
        </is>
      </c>
      <c r="K214" s="10" t="inlineStr">
        <is>
          <t>A local skill package with the same declared name is present.</t>
        </is>
      </c>
    </row>
    <row r="215" outlineLevel="1" ht="52" customHeight="1">
      <c r="A215" s="10" t="inlineStr">
        <is>
          <t>F-0214</t>
        </is>
      </c>
      <c r="B215" s="10" t="inlineStr">
        <is>
          <t>Skills</t>
        </is>
      </c>
      <c r="C215" s="10" t="inlineStr">
        <is>
          <t>native-mcp</t>
        </is>
      </c>
      <c r="D215" s="10" t="inlineStr">
        <is>
          <t>Manifest capability</t>
        </is>
      </c>
      <c r="E215" s="10" t="inlineStr">
        <is>
          <t>As a Kurultai operator, I want native-mcp so that the system behaves predictably and safely.</t>
        </is>
      </c>
      <c r="F215" s="10" t="inlineStr">
        <is>
          <t>MCP client: connect servers, register tools (stdio/HTTP).</t>
        </is>
      </c>
      <c r="G215" s="10" t="inlineStr">
        <is>
          <t>config/runtime-config/skills.manifest.json</t>
        </is>
      </c>
      <c r="H215" s="10" t="inlineStr">
        <is>
          <t>test_skill_manifest_has_metadata_for_every_declared_capability; local SKILL.md inventory</t>
        </is>
      </c>
      <c r="I215" s="10" t="inlineStr">
        <is>
          <t>Declared; package unavailable</t>
        </is>
      </c>
      <c r="J215" s="10" t="inlineStr">
        <is>
          <t>Yes</t>
        </is>
      </c>
      <c r="K215" s="10" t="inlineStr">
        <is>
          <t>Declared path .archive/native-mcp is not available locally.</t>
        </is>
      </c>
    </row>
    <row r="216" outlineLevel="1" ht="52" customHeight="1">
      <c r="A216" s="10" t="inlineStr">
        <is>
          <t>F-0215</t>
        </is>
      </c>
      <c r="B216" s="10" t="inlineStr">
        <is>
          <t>Skills</t>
        </is>
      </c>
      <c r="C216" s="10" t="inlineStr">
        <is>
          <t>node-inspect-debugger</t>
        </is>
      </c>
      <c r="D216" s="10" t="inlineStr">
        <is>
          <t>Manifest capability</t>
        </is>
      </c>
      <c r="E216" s="10" t="inlineStr">
        <is>
          <t>As a Kurultai operator, I want node-inspect-debugger so that the system behaves predictably and safely.</t>
        </is>
      </c>
      <c r="F216" s="10" t="inlineStr">
        <is>
          <t>Debug Node.js via --inspect + Chrome DevTools Protocol CLI.</t>
        </is>
      </c>
      <c r="G216" s="10" t="inlineStr">
        <is>
          <t>config/runtime-config/skills.manifest.json</t>
        </is>
      </c>
      <c r="H216" s="10" t="inlineStr">
        <is>
          <t>test_skill_manifest_has_metadata_for_every_declared_capability; local SKILL.md inventory</t>
        </is>
      </c>
      <c r="I216" s="10" t="inlineStr">
        <is>
          <t>Installed / contract verified</t>
        </is>
      </c>
      <c r="J216" s="10" t="inlineStr">
        <is>
          <t>No</t>
        </is>
      </c>
      <c r="K216" s="10" t="inlineStr">
        <is>
          <t>A local skill package with the same declared name is present.</t>
        </is>
      </c>
    </row>
    <row r="217" outlineLevel="1" ht="52" customHeight="1">
      <c r="A217" s="10" t="inlineStr">
        <is>
          <t>F-0216</t>
        </is>
      </c>
      <c r="B217" s="10" t="inlineStr">
        <is>
          <t>Skills</t>
        </is>
      </c>
      <c r="C217" s="10" t="inlineStr">
        <is>
          <t>notion</t>
        </is>
      </c>
      <c r="D217" s="10" t="inlineStr">
        <is>
          <t>Manifest capability</t>
        </is>
      </c>
      <c r="E217" s="10" t="inlineStr">
        <is>
          <t>As a Kurultai operator, I want notion so that the system behaves predictably and safely.</t>
        </is>
      </c>
      <c r="F217" s="10" t="inlineStr">
        <is>
          <t>Notion API + ntn CLI: pages, databases, markdown, Workers.</t>
        </is>
      </c>
      <c r="G217" s="10" t="inlineStr">
        <is>
          <t>config/runtime-config/skills.manifest.json</t>
        </is>
      </c>
      <c r="H217" s="10" t="inlineStr">
        <is>
          <t>test_skill_manifest_has_metadata_for_every_declared_capability; local SKILL.md inventory</t>
        </is>
      </c>
      <c r="I217" s="10" t="inlineStr">
        <is>
          <t>Installed / contract verified</t>
        </is>
      </c>
      <c r="J217" s="10" t="inlineStr">
        <is>
          <t>No</t>
        </is>
      </c>
      <c r="K217" s="10" t="inlineStr">
        <is>
          <t>A local skill package with the same declared name is present.</t>
        </is>
      </c>
    </row>
    <row r="218" outlineLevel="1" ht="52" customHeight="1">
      <c r="A218" s="10" t="inlineStr">
        <is>
          <t>F-0217</t>
        </is>
      </c>
      <c r="B218" s="10" t="inlineStr">
        <is>
          <t>Skills</t>
        </is>
      </c>
      <c r="C218" s="10" t="inlineStr">
        <is>
          <t>obliteratus</t>
        </is>
      </c>
      <c r="D218" s="10" t="inlineStr">
        <is>
          <t>Manifest capability</t>
        </is>
      </c>
      <c r="E218" s="10" t="inlineStr">
        <is>
          <t>As a Kurultai operator, I want obliteratus so that the system behaves predictably and safely.</t>
        </is>
      </c>
      <c r="F218" s="10" t="inlineStr">
        <is>
          <t>OBLITERATUS: abliterate LLM refusals (diff-in-means).</t>
        </is>
      </c>
      <c r="G218" s="10" t="inlineStr">
        <is>
          <t>config/runtime-config/skills.manifest.json</t>
        </is>
      </c>
      <c r="H218" s="10" t="inlineStr">
        <is>
          <t>test_skill_manifest_has_metadata_for_every_declared_capability; local SKILL.md inventory</t>
        </is>
      </c>
      <c r="I218" s="10" t="inlineStr">
        <is>
          <t>Installed / contract verified</t>
        </is>
      </c>
      <c r="J218" s="10" t="inlineStr">
        <is>
          <t>No</t>
        </is>
      </c>
      <c r="K218" s="10" t="inlineStr">
        <is>
          <t>A local skill package with the same declared name is present.</t>
        </is>
      </c>
    </row>
    <row r="219" outlineLevel="1" ht="52" customHeight="1">
      <c r="A219" s="10" t="inlineStr">
        <is>
          <t>F-0218</t>
        </is>
      </c>
      <c r="B219" s="10" t="inlineStr">
        <is>
          <t>Skills</t>
        </is>
      </c>
      <c r="C219" s="10" t="inlineStr">
        <is>
          <t>obsidian</t>
        </is>
      </c>
      <c r="D219" s="10" t="inlineStr">
        <is>
          <t>Manifest capability</t>
        </is>
      </c>
      <c r="E219" s="10" t="inlineStr">
        <is>
          <t>As a Kurultai operator, I want obsidian so that the system behaves predictably and safely.</t>
        </is>
      </c>
      <c r="F219" s="10" t="inlineStr">
        <is>
          <t>Read, search, create, and edit notes in the Obsidian vault.</t>
        </is>
      </c>
      <c r="G219" s="10" t="inlineStr">
        <is>
          <t>config/runtime-config/skills.manifest.json</t>
        </is>
      </c>
      <c r="H219" s="10" t="inlineStr">
        <is>
          <t>test_skill_manifest_has_metadata_for_every_declared_capability; local SKILL.md inventory</t>
        </is>
      </c>
      <c r="I219" s="10" t="inlineStr">
        <is>
          <t>Installed / contract verified</t>
        </is>
      </c>
      <c r="J219" s="10" t="inlineStr">
        <is>
          <t>No</t>
        </is>
      </c>
      <c r="K219" s="10" t="inlineStr">
        <is>
          <t>A local skill package with the same declared name is present.</t>
        </is>
      </c>
    </row>
    <row r="220" outlineLevel="1" ht="52" customHeight="1">
      <c r="A220" s="10" t="inlineStr">
        <is>
          <t>F-0219</t>
        </is>
      </c>
      <c r="B220" s="10" t="inlineStr">
        <is>
          <t>Skills</t>
        </is>
      </c>
      <c r="C220" s="10" t="inlineStr">
        <is>
          <t>ocr-and-documents</t>
        </is>
      </c>
      <c r="D220" s="10" t="inlineStr">
        <is>
          <t>Manifest capability</t>
        </is>
      </c>
      <c r="E220" s="10" t="inlineStr">
        <is>
          <t>As a Kurultai operator, I want ocr-and-documents so that the system behaves predictably and safely.</t>
        </is>
      </c>
      <c r="F220" s="10" t="inlineStr">
        <is>
          <t>Extract text from PDFs/scans (pymupdf, marker-pdf).</t>
        </is>
      </c>
      <c r="G220" s="10" t="inlineStr">
        <is>
          <t>config/runtime-config/skills.manifest.json</t>
        </is>
      </c>
      <c r="H220" s="10" t="inlineStr">
        <is>
          <t>test_skill_manifest_has_metadata_for_every_declared_capability; local SKILL.md inventory</t>
        </is>
      </c>
      <c r="I220" s="10" t="inlineStr">
        <is>
          <t>Installed / contract verified</t>
        </is>
      </c>
      <c r="J220" s="10" t="inlineStr">
        <is>
          <t>No</t>
        </is>
      </c>
      <c r="K220" s="10" t="inlineStr">
        <is>
          <t>A local skill package with the same declared name is present.</t>
        </is>
      </c>
    </row>
    <row r="221" outlineLevel="1" ht="52" customHeight="1">
      <c r="A221" s="10" t="inlineStr">
        <is>
          <t>F-0220</t>
        </is>
      </c>
      <c r="B221" s="10" t="inlineStr">
        <is>
          <t>Skills</t>
        </is>
      </c>
      <c r="C221" s="10" t="inlineStr">
        <is>
          <t>opencode</t>
        </is>
      </c>
      <c r="D221" s="10" t="inlineStr">
        <is>
          <t>Manifest capability</t>
        </is>
      </c>
      <c r="E221" s="10" t="inlineStr">
        <is>
          <t>As a Kurultai operator, I want opencode so that the system behaves predictably and safely.</t>
        </is>
      </c>
      <c r="F221" s="10" t="inlineStr">
        <is>
          <t>Delegate coding to OpenCode CLI (features, PR review).</t>
        </is>
      </c>
      <c r="G221" s="10" t="inlineStr">
        <is>
          <t>config/runtime-config/skills.manifest.json</t>
        </is>
      </c>
      <c r="H221" s="10" t="inlineStr">
        <is>
          <t>test_skill_manifest_has_metadata_for_every_declared_capability; local SKILL.md inventory</t>
        </is>
      </c>
      <c r="I221" s="10" t="inlineStr">
        <is>
          <t>Installed / contract verified</t>
        </is>
      </c>
      <c r="J221" s="10" t="inlineStr">
        <is>
          <t>No</t>
        </is>
      </c>
      <c r="K221" s="10" t="inlineStr">
        <is>
          <t>A local skill package with the same declared name is present.</t>
        </is>
      </c>
    </row>
    <row r="222" outlineLevel="1" ht="52" customHeight="1">
      <c r="A222" s="10" t="inlineStr">
        <is>
          <t>F-0221</t>
        </is>
      </c>
      <c r="B222" s="10" t="inlineStr">
        <is>
          <t>Skills</t>
        </is>
      </c>
      <c r="C222" s="10" t="inlineStr">
        <is>
          <t>openhue</t>
        </is>
      </c>
      <c r="D222" s="10" t="inlineStr">
        <is>
          <t>Manifest capability</t>
        </is>
      </c>
      <c r="E222" s="10" t="inlineStr">
        <is>
          <t>As a Kurultai operator, I want openhue so that the system behaves predictably and safely.</t>
        </is>
      </c>
      <c r="F222" s="10" t="inlineStr">
        <is>
          <t>Control Philips Hue lights, scenes, rooms via OpenHue CLI.</t>
        </is>
      </c>
      <c r="G222" s="10" t="inlineStr">
        <is>
          <t>config/runtime-config/skills.manifest.json</t>
        </is>
      </c>
      <c r="H222" s="10" t="inlineStr">
        <is>
          <t>test_skill_manifest_has_metadata_for_every_declared_capability; local SKILL.md inventory</t>
        </is>
      </c>
      <c r="I222" s="10" t="inlineStr">
        <is>
          <t>Installed / contract verified</t>
        </is>
      </c>
      <c r="J222" s="10" t="inlineStr">
        <is>
          <t>No</t>
        </is>
      </c>
      <c r="K222" s="10" t="inlineStr">
        <is>
          <t>A local skill package with the same declared name is present.</t>
        </is>
      </c>
    </row>
    <row r="223" outlineLevel="1" ht="52" customHeight="1">
      <c r="A223" s="10" t="inlineStr">
        <is>
          <t>F-0222</t>
        </is>
      </c>
      <c r="B223" s="10" t="inlineStr">
        <is>
          <t>Skills</t>
        </is>
      </c>
      <c r="C223" s="10" t="inlineStr">
        <is>
          <t>p5js</t>
        </is>
      </c>
      <c r="D223" s="10" t="inlineStr">
        <is>
          <t>Manifest capability</t>
        </is>
      </c>
      <c r="E223" s="10" t="inlineStr">
        <is>
          <t>As a Kurultai operator, I want p5js so that the system behaves predictably and safely.</t>
        </is>
      </c>
      <c r="F223" s="10" t="inlineStr">
        <is>
          <t>p5.js sketches: gen art, shaders, interactive, 3D.</t>
        </is>
      </c>
      <c r="G223" s="10" t="inlineStr">
        <is>
          <t>config/runtime-config/skills.manifest.json</t>
        </is>
      </c>
      <c r="H223" s="10" t="inlineStr">
        <is>
          <t>test_skill_manifest_has_metadata_for_every_declared_capability; local SKILL.md inventory</t>
        </is>
      </c>
      <c r="I223" s="10" t="inlineStr">
        <is>
          <t>Installed / contract verified</t>
        </is>
      </c>
      <c r="J223" s="10" t="inlineStr">
        <is>
          <t>No</t>
        </is>
      </c>
      <c r="K223" s="10" t="inlineStr">
        <is>
          <t>A local skill package with the same declared name is present.</t>
        </is>
      </c>
    </row>
    <row r="224" outlineLevel="1" ht="52" customHeight="1">
      <c r="A224" s="10" t="inlineStr">
        <is>
          <t>F-0223</t>
        </is>
      </c>
      <c r="B224" s="10" t="inlineStr">
        <is>
          <t>Skills</t>
        </is>
      </c>
      <c r="C224" s="10" t="inlineStr">
        <is>
          <t>plan</t>
        </is>
      </c>
      <c r="D224" s="10" t="inlineStr">
        <is>
          <t>Manifest capability</t>
        </is>
      </c>
      <c r="E224" s="10" t="inlineStr">
        <is>
          <t>As a Kurultai operator, I want plan so that the system behaves predictably and safely.</t>
        </is>
      </c>
      <c r="F224" s="10" t="inlineStr">
        <is>
          <t>Plan mode: write an actionable markdown plan to .hermes/plans/, no execution. Bite-sized tasks, exact paths, complete code.</t>
        </is>
      </c>
      <c r="G224" s="10" t="inlineStr">
        <is>
          <t>config/runtime-config/skills.manifest.json</t>
        </is>
      </c>
      <c r="H224" s="10" t="inlineStr">
        <is>
          <t>test_skill_manifest_has_metadata_for_every_declared_capability; local SKILL.md inventory</t>
        </is>
      </c>
      <c r="I224" s="10" t="inlineStr">
        <is>
          <t>Installed / contract verified</t>
        </is>
      </c>
      <c r="J224" s="10" t="inlineStr">
        <is>
          <t>No</t>
        </is>
      </c>
      <c r="K224" s="10" t="inlineStr">
        <is>
          <t>A local skill package with the same declared name is present.</t>
        </is>
      </c>
    </row>
    <row r="225" outlineLevel="1" ht="52" customHeight="1">
      <c r="A225" s="10" t="inlineStr">
        <is>
          <t>F-0224</t>
        </is>
      </c>
      <c r="B225" s="10" t="inlineStr">
        <is>
          <t>Skills</t>
        </is>
      </c>
      <c r="C225" s="10" t="inlineStr">
        <is>
          <t>polymarket</t>
        </is>
      </c>
      <c r="D225" s="10" t="inlineStr">
        <is>
          <t>Manifest capability</t>
        </is>
      </c>
      <c r="E225" s="10" t="inlineStr">
        <is>
          <t>As a Kurultai operator, I want polymarket so that the system behaves predictably and safely.</t>
        </is>
      </c>
      <c r="F225" s="10" t="inlineStr">
        <is>
          <t>Query Polymarket: markets, prices, orderbooks, history.</t>
        </is>
      </c>
      <c r="G225" s="10" t="inlineStr">
        <is>
          <t>config/runtime-config/skills.manifest.json</t>
        </is>
      </c>
      <c r="H225" s="10" t="inlineStr">
        <is>
          <t>test_skill_manifest_has_metadata_for_every_declared_capability; local SKILL.md inventory</t>
        </is>
      </c>
      <c r="I225" s="10" t="inlineStr">
        <is>
          <t>Installed / contract verified</t>
        </is>
      </c>
      <c r="J225" s="10" t="inlineStr">
        <is>
          <t>No</t>
        </is>
      </c>
      <c r="K225" s="10" t="inlineStr">
        <is>
          <t>A local skill package with the same declared name is present.</t>
        </is>
      </c>
    </row>
    <row r="226" outlineLevel="1" ht="52" customHeight="1">
      <c r="A226" s="10" t="inlineStr">
        <is>
          <t>F-0225</t>
        </is>
      </c>
      <c r="B226" s="10" t="inlineStr">
        <is>
          <t>Skills</t>
        </is>
      </c>
      <c r="C226" s="10" t="inlineStr">
        <is>
          <t>popular-web-designs</t>
        </is>
      </c>
      <c r="D226" s="10" t="inlineStr">
        <is>
          <t>Manifest capability</t>
        </is>
      </c>
      <c r="E226" s="10" t="inlineStr">
        <is>
          <t>As a Kurultai operator, I want popular-web-designs so that the system behaves predictably and safely.</t>
        </is>
      </c>
      <c r="F226" s="10" t="inlineStr">
        <is>
          <t>54 real design systems (Stripe, Linear, Vercel) as HTML/CSS.</t>
        </is>
      </c>
      <c r="G226" s="10" t="inlineStr">
        <is>
          <t>config/runtime-config/skills.manifest.json</t>
        </is>
      </c>
      <c r="H226" s="10" t="inlineStr">
        <is>
          <t>test_skill_manifest_has_metadata_for_every_declared_capability; local SKILL.md inventory</t>
        </is>
      </c>
      <c r="I226" s="10" t="inlineStr">
        <is>
          <t>Installed / contract verified</t>
        </is>
      </c>
      <c r="J226" s="10" t="inlineStr">
        <is>
          <t>No</t>
        </is>
      </c>
      <c r="K226" s="10" t="inlineStr">
        <is>
          <t>A local skill package with the same declared name is present.</t>
        </is>
      </c>
    </row>
    <row r="227" outlineLevel="1" ht="52" customHeight="1">
      <c r="A227" s="10" t="inlineStr">
        <is>
          <t>F-0226</t>
        </is>
      </c>
      <c r="B227" s="10" t="inlineStr">
        <is>
          <t>Skills</t>
        </is>
      </c>
      <c r="C227" s="10" t="inlineStr">
        <is>
          <t>powerpoint</t>
        </is>
      </c>
      <c r="D227" s="10" t="inlineStr">
        <is>
          <t>Manifest capability</t>
        </is>
      </c>
      <c r="E227" s="10" t="inlineStr">
        <is>
          <t>As a Kurultai operator, I want powerpoint so that the system behaves predictably and safely.</t>
        </is>
      </c>
      <c r="F227" s="10" t="inlineStr">
        <is>
          <t>Create, read, edit .pptx decks, slides, notes, templates.</t>
        </is>
      </c>
      <c r="G227" s="10" t="inlineStr">
        <is>
          <t>config/runtime-config/skills.manifest.json</t>
        </is>
      </c>
      <c r="H227" s="10" t="inlineStr">
        <is>
          <t>test_skill_manifest_has_metadata_for_every_declared_capability; local SKILL.md inventory</t>
        </is>
      </c>
      <c r="I227" s="10" t="inlineStr">
        <is>
          <t>Installed / contract verified</t>
        </is>
      </c>
      <c r="J227" s="10" t="inlineStr">
        <is>
          <t>No</t>
        </is>
      </c>
      <c r="K227" s="10" t="inlineStr">
        <is>
          <t>A local skill package with the same declared name is present.</t>
        </is>
      </c>
    </row>
    <row r="228" outlineLevel="1" ht="52" customHeight="1">
      <c r="A228" s="10" t="inlineStr">
        <is>
          <t>F-0227</t>
        </is>
      </c>
      <c r="B228" s="10" t="inlineStr">
        <is>
          <t>Skills</t>
        </is>
      </c>
      <c r="C228" s="10" t="inlineStr">
        <is>
          <t>pretext</t>
        </is>
      </c>
      <c r="D228" s="10" t="inlineStr">
        <is>
          <t>Manifest capability</t>
        </is>
      </c>
      <c r="E228" s="10" t="inlineStr">
        <is>
          <t>As a Kurultai operator, I want pretext so that the system behaves predictably and safely.</t>
        </is>
      </c>
      <c r="F228" s="10" t="inlineStr">
        <is>
          <t>Use when building creative browser demos with @chenglou/pretext — DOM-free text layout for ASCII art, typographic flow around obstacles, text-as-geometry games, kinetic typography, and text-powered generative art. Produces single-file HTML demos by default.</t>
        </is>
      </c>
      <c r="G228" s="10" t="inlineStr">
        <is>
          <t>config/runtime-config/skills.manifest.json</t>
        </is>
      </c>
      <c r="H228" s="10" t="inlineStr">
        <is>
          <t>test_skill_manifest_has_metadata_for_every_declared_capability; local SKILL.md inventory</t>
        </is>
      </c>
      <c r="I228" s="10" t="inlineStr">
        <is>
          <t>Installed / contract verified</t>
        </is>
      </c>
      <c r="J228" s="10" t="inlineStr">
        <is>
          <t>No</t>
        </is>
      </c>
      <c r="K228" s="10" t="inlineStr">
        <is>
          <t>A local skill package with the same declared name is present.</t>
        </is>
      </c>
    </row>
    <row r="229" outlineLevel="1" ht="52" customHeight="1">
      <c r="A229" s="10" t="inlineStr">
        <is>
          <t>F-0228</t>
        </is>
      </c>
      <c r="B229" s="10" t="inlineStr">
        <is>
          <t>Skills</t>
        </is>
      </c>
      <c r="C229" s="10" t="inlineStr">
        <is>
          <t>python-debugpy</t>
        </is>
      </c>
      <c r="D229" s="10" t="inlineStr">
        <is>
          <t>Manifest capability</t>
        </is>
      </c>
      <c r="E229" s="10" t="inlineStr">
        <is>
          <t>As a Kurultai operator, I want python-debugpy so that the system behaves predictably and safely.</t>
        </is>
      </c>
      <c r="F229" s="10" t="inlineStr">
        <is>
          <t>Debug Python: pdb REPL + debugpy remote (DAP).</t>
        </is>
      </c>
      <c r="G229" s="10" t="inlineStr">
        <is>
          <t>config/runtime-config/skills.manifest.json</t>
        </is>
      </c>
      <c r="H229" s="10" t="inlineStr">
        <is>
          <t>test_skill_manifest_has_metadata_for_every_declared_capability; local SKILL.md inventory</t>
        </is>
      </c>
      <c r="I229" s="10" t="inlineStr">
        <is>
          <t>Installed / contract verified</t>
        </is>
      </c>
      <c r="J229" s="10" t="inlineStr">
        <is>
          <t>No</t>
        </is>
      </c>
      <c r="K229" s="10" t="inlineStr">
        <is>
          <t>A local skill package with the same declared name is present.</t>
        </is>
      </c>
    </row>
    <row r="230" outlineLevel="1" ht="52" customHeight="1">
      <c r="A230" s="10" t="inlineStr">
        <is>
          <t>F-0229</t>
        </is>
      </c>
      <c r="B230" s="10" t="inlineStr">
        <is>
          <t>Skills</t>
        </is>
      </c>
      <c r="C230" s="10" t="inlineStr">
        <is>
          <t>requesting-code-review</t>
        </is>
      </c>
      <c r="D230" s="10" t="inlineStr">
        <is>
          <t>Manifest capability</t>
        </is>
      </c>
      <c r="E230" s="10" t="inlineStr">
        <is>
          <t>As a Kurultai operator, I want requesting-code-review so that the system behaves predictably and safely.</t>
        </is>
      </c>
      <c r="F230" s="10" t="inlineStr">
        <is>
          <t>Pre-commit review: security scan, quality gates, auto-fix.</t>
        </is>
      </c>
      <c r="G230" s="10" t="inlineStr">
        <is>
          <t>config/runtime-config/skills.manifest.json</t>
        </is>
      </c>
      <c r="H230" s="10" t="inlineStr">
        <is>
          <t>test_skill_manifest_has_metadata_for_every_declared_capability; local SKILL.md inventory</t>
        </is>
      </c>
      <c r="I230" s="10" t="inlineStr">
        <is>
          <t>Installed / contract verified</t>
        </is>
      </c>
      <c r="J230" s="10" t="inlineStr">
        <is>
          <t>No</t>
        </is>
      </c>
      <c r="K230" s="10" t="inlineStr">
        <is>
          <t>A local skill package with the same declared name is present.</t>
        </is>
      </c>
    </row>
    <row r="231" outlineLevel="1" ht="52" customHeight="1">
      <c r="A231" s="10" t="inlineStr">
        <is>
          <t>F-0230</t>
        </is>
      </c>
      <c r="B231" s="10" t="inlineStr">
        <is>
          <t>Skills</t>
        </is>
      </c>
      <c r="C231" s="10" t="inlineStr">
        <is>
          <t>resale-arbitrage-research</t>
        </is>
      </c>
      <c r="D231" s="10" t="inlineStr">
        <is>
          <t>Manifest capability</t>
        </is>
      </c>
      <c r="E231" s="10" t="inlineStr">
        <is>
          <t>As a Kurultai operator, I want resale-arbitrage-research so that the system behaves predictably and safely.</t>
        </is>
      </c>
      <c r="F231" s="10" t="inlineStr">
        <is>
          <t>Research and advise on buying limited, event, local, or collector merchandise for resale; prioritize official, scarce, low-friction inventory with live market comps.</t>
        </is>
      </c>
      <c r="G231" s="10" t="inlineStr">
        <is>
          <t>config/runtime-config/skills.manifest.json</t>
        </is>
      </c>
      <c r="H231" s="10" t="inlineStr">
        <is>
          <t>test_skill_manifest_has_metadata_for_every_declared_capability; local SKILL.md inventory</t>
        </is>
      </c>
      <c r="I231" s="10" t="inlineStr">
        <is>
          <t>Declared; package unavailable</t>
        </is>
      </c>
      <c r="J231" s="10" t="inlineStr">
        <is>
          <t>Yes</t>
        </is>
      </c>
      <c r="K231" s="10" t="inlineStr">
        <is>
          <t>Declared path .archive/resale-arbitrage-research is not available locally.</t>
        </is>
      </c>
    </row>
    <row r="232" outlineLevel="1" ht="52" customHeight="1">
      <c r="A232" s="10" t="inlineStr">
        <is>
          <t>F-0231</t>
        </is>
      </c>
      <c r="B232" s="10" t="inlineStr">
        <is>
          <t>Skills</t>
        </is>
      </c>
      <c r="C232" s="10" t="inlineStr">
        <is>
          <t>research-paper-writing</t>
        </is>
      </c>
      <c r="D232" s="10" t="inlineStr">
        <is>
          <t>Manifest capability</t>
        </is>
      </c>
      <c r="E232" s="10" t="inlineStr">
        <is>
          <t>As a Kurultai operator, I want research-paper-writing so that the system behaves predictably and safely.</t>
        </is>
      </c>
      <c r="F232" s="10" t="inlineStr">
        <is>
          <t>Write ML papers for NeurIPS/ICML/ICLR: design→submit.</t>
        </is>
      </c>
      <c r="G232" s="10" t="inlineStr">
        <is>
          <t>config/runtime-config/skills.manifest.json</t>
        </is>
      </c>
      <c r="H232" s="10" t="inlineStr">
        <is>
          <t>test_skill_manifest_has_metadata_for_every_declared_capability; local SKILL.md inventory</t>
        </is>
      </c>
      <c r="I232" s="10" t="inlineStr">
        <is>
          <t>Installed / contract verified</t>
        </is>
      </c>
      <c r="J232" s="10" t="inlineStr">
        <is>
          <t>No</t>
        </is>
      </c>
      <c r="K232" s="10" t="inlineStr">
        <is>
          <t>A local skill package with the same declared name is present.</t>
        </is>
      </c>
    </row>
    <row r="233" outlineLevel="1" ht="52" customHeight="1">
      <c r="A233" s="10" t="inlineStr">
        <is>
          <t>F-0232</t>
        </is>
      </c>
      <c r="B233" s="10" t="inlineStr">
        <is>
          <t>Skills</t>
        </is>
      </c>
      <c r="C233" s="10" t="inlineStr">
        <is>
          <t>segment-anything-model</t>
        </is>
      </c>
      <c r="D233" s="10" t="inlineStr">
        <is>
          <t>Manifest capability</t>
        </is>
      </c>
      <c r="E233" s="10" t="inlineStr">
        <is>
          <t>As a Kurultai operator, I want segment-anything-model so that the system behaves predictably and safely.</t>
        </is>
      </c>
      <c r="F233" s="10" t="inlineStr">
        <is>
          <t>Expose the declared segment-anything-model capability when its package is available.</t>
        </is>
      </c>
      <c r="G233" s="10" t="inlineStr">
        <is>
          <t>config/runtime-config/skills.manifest.json</t>
        </is>
      </c>
      <c r="H233" s="10" t="inlineStr">
        <is>
          <t>test_skill_manifest_has_metadata_for_every_declared_capability; local SKILL.md inventory</t>
        </is>
      </c>
      <c r="I233" s="10" t="inlineStr">
        <is>
          <t>Declared; package unavailable</t>
        </is>
      </c>
      <c r="J233" s="10" t="inlineStr">
        <is>
          <t>Yes</t>
        </is>
      </c>
      <c r="K233" s="10" t="inlineStr">
        <is>
          <t>Declared path .archive/segment-anything-model is not available locally.</t>
        </is>
      </c>
    </row>
    <row r="234" outlineLevel="1" ht="52" customHeight="1">
      <c r="A234" s="10" t="inlineStr">
        <is>
          <t>F-0233</t>
        </is>
      </c>
      <c r="B234" s="10" t="inlineStr">
        <is>
          <t>Skills</t>
        </is>
      </c>
      <c r="C234" s="10" t="inlineStr">
        <is>
          <t>serving-llms-vllm</t>
        </is>
      </c>
      <c r="D234" s="10" t="inlineStr">
        <is>
          <t>Manifest capability</t>
        </is>
      </c>
      <c r="E234" s="10" t="inlineStr">
        <is>
          <t>As a Kurultai operator, I want serving-llms-vllm so that the system behaves predictably and safely.</t>
        </is>
      </c>
      <c r="F234" s="10" t="inlineStr">
        <is>
          <t>Expose the declared serving-llms-vllm capability when its package is available.</t>
        </is>
      </c>
      <c r="G234" s="10" t="inlineStr">
        <is>
          <t>config/runtime-config/skills.manifest.json</t>
        </is>
      </c>
      <c r="H234" s="10" t="inlineStr">
        <is>
          <t>test_skill_manifest_has_metadata_for_every_declared_capability; local SKILL.md inventory</t>
        </is>
      </c>
      <c r="I234" s="10" t="inlineStr">
        <is>
          <t>Declared; package unavailable</t>
        </is>
      </c>
      <c r="J234" s="10" t="inlineStr">
        <is>
          <t>Yes</t>
        </is>
      </c>
      <c r="K234" s="10" t="inlineStr">
        <is>
          <t>Declared path .archive/serving-llms-vllm is not available locally.</t>
        </is>
      </c>
    </row>
    <row r="235" outlineLevel="1" ht="52" customHeight="1">
      <c r="A235" s="10" t="inlineStr">
        <is>
          <t>F-0234</t>
        </is>
      </c>
      <c r="B235" s="10" t="inlineStr">
        <is>
          <t>Skills</t>
        </is>
      </c>
      <c r="C235" s="10" t="inlineStr">
        <is>
          <t>sketch</t>
        </is>
      </c>
      <c r="D235" s="10" t="inlineStr">
        <is>
          <t>Manifest capability</t>
        </is>
      </c>
      <c r="E235" s="10" t="inlineStr">
        <is>
          <t>As a Kurultai operator, I want sketch so that the system behaves predictably and safely.</t>
        </is>
      </c>
      <c r="F235" s="10" t="inlineStr">
        <is>
          <t>Throwaway HTML mockups: 2-3 design variants to compare.</t>
        </is>
      </c>
      <c r="G235" s="10" t="inlineStr">
        <is>
          <t>config/runtime-config/skills.manifest.json</t>
        </is>
      </c>
      <c r="H235" s="10" t="inlineStr">
        <is>
          <t>test_skill_manifest_has_metadata_for_every_declared_capability; local SKILL.md inventory</t>
        </is>
      </c>
      <c r="I235" s="10" t="inlineStr">
        <is>
          <t>Installed / contract verified</t>
        </is>
      </c>
      <c r="J235" s="10" t="inlineStr">
        <is>
          <t>No</t>
        </is>
      </c>
      <c r="K235" s="10" t="inlineStr">
        <is>
          <t>A local skill package with the same declared name is present.</t>
        </is>
      </c>
    </row>
    <row r="236" outlineLevel="1" ht="52" customHeight="1">
      <c r="A236" s="10" t="inlineStr">
        <is>
          <t>F-0235</t>
        </is>
      </c>
      <c r="B236" s="10" t="inlineStr">
        <is>
          <t>Skills</t>
        </is>
      </c>
      <c r="C236" s="10" t="inlineStr">
        <is>
          <t>songsee</t>
        </is>
      </c>
      <c r="D236" s="10" t="inlineStr">
        <is>
          <t>Manifest capability</t>
        </is>
      </c>
      <c r="E236" s="10" t="inlineStr">
        <is>
          <t>As a Kurultai operator, I want songsee so that the system behaves predictably and safely.</t>
        </is>
      </c>
      <c r="F236" s="10" t="inlineStr">
        <is>
          <t>Audio spectrograms/features (mel, chroma, MFCC) via CLI.</t>
        </is>
      </c>
      <c r="G236" s="10" t="inlineStr">
        <is>
          <t>config/runtime-config/skills.manifest.json</t>
        </is>
      </c>
      <c r="H236" s="10" t="inlineStr">
        <is>
          <t>test_skill_manifest_has_metadata_for_every_declared_capability; local SKILL.md inventory</t>
        </is>
      </c>
      <c r="I236" s="10" t="inlineStr">
        <is>
          <t>Installed / contract verified</t>
        </is>
      </c>
      <c r="J236" s="10" t="inlineStr">
        <is>
          <t>No</t>
        </is>
      </c>
      <c r="K236" s="10" t="inlineStr">
        <is>
          <t>A local skill package with the same declared name is present.</t>
        </is>
      </c>
    </row>
    <row r="237" outlineLevel="1" ht="52" customHeight="1">
      <c r="A237" s="10" t="inlineStr">
        <is>
          <t>F-0236</t>
        </is>
      </c>
      <c r="B237" s="10" t="inlineStr">
        <is>
          <t>Skills</t>
        </is>
      </c>
      <c r="C237" s="10" t="inlineStr">
        <is>
          <t>songwriting-and-ai-music</t>
        </is>
      </c>
      <c r="D237" s="10" t="inlineStr">
        <is>
          <t>Manifest capability</t>
        </is>
      </c>
      <c r="E237" s="10" t="inlineStr">
        <is>
          <t>As a Kurultai operator, I want songwriting-and-ai-music so that the system behaves predictably and safely.</t>
        </is>
      </c>
      <c r="F237" s="10" t="inlineStr">
        <is>
          <t>Songwriting craft and Suno AI music prompts.</t>
        </is>
      </c>
      <c r="G237" s="10" t="inlineStr">
        <is>
          <t>config/runtime-config/skills.manifest.json</t>
        </is>
      </c>
      <c r="H237" s="10" t="inlineStr">
        <is>
          <t>test_skill_manifest_has_metadata_for_every_declared_capability; local SKILL.md inventory</t>
        </is>
      </c>
      <c r="I237" s="10" t="inlineStr">
        <is>
          <t>Installed / contract verified</t>
        </is>
      </c>
      <c r="J237" s="10" t="inlineStr">
        <is>
          <t>No</t>
        </is>
      </c>
      <c r="K237" s="10" t="inlineStr">
        <is>
          <t>A local skill package with the same declared name is present.</t>
        </is>
      </c>
    </row>
    <row r="238" outlineLevel="1" ht="52" customHeight="1">
      <c r="A238" s="10" t="inlineStr">
        <is>
          <t>F-0237</t>
        </is>
      </c>
      <c r="B238" s="10" t="inlineStr">
        <is>
          <t>Skills</t>
        </is>
      </c>
      <c r="C238" s="10" t="inlineStr">
        <is>
          <t>spike</t>
        </is>
      </c>
      <c r="D238" s="10" t="inlineStr">
        <is>
          <t>Manifest capability</t>
        </is>
      </c>
      <c r="E238" s="10" t="inlineStr">
        <is>
          <t>As a Kurultai operator, I want spike so that the system behaves predictably and safely.</t>
        </is>
      </c>
      <c r="F238" s="10" t="inlineStr">
        <is>
          <t>Throwaway experiments to validate an idea before build.</t>
        </is>
      </c>
      <c r="G238" s="10" t="inlineStr">
        <is>
          <t>config/runtime-config/skills.manifest.json</t>
        </is>
      </c>
      <c r="H238" s="10" t="inlineStr">
        <is>
          <t>test_skill_manifest_has_metadata_for_every_declared_capability; local SKILL.md inventory</t>
        </is>
      </c>
      <c r="I238" s="10" t="inlineStr">
        <is>
          <t>Installed / contract verified</t>
        </is>
      </c>
      <c r="J238" s="10" t="inlineStr">
        <is>
          <t>No</t>
        </is>
      </c>
      <c r="K238" s="10" t="inlineStr">
        <is>
          <t>A local skill package with the same declared name is present.</t>
        </is>
      </c>
    </row>
    <row r="239" outlineLevel="1" ht="52" customHeight="1">
      <c r="A239" s="10" t="inlineStr">
        <is>
          <t>F-0238</t>
        </is>
      </c>
      <c r="B239" s="10" t="inlineStr">
        <is>
          <t>Skills</t>
        </is>
      </c>
      <c r="C239" s="10" t="inlineStr">
        <is>
          <t>systematic-debugging</t>
        </is>
      </c>
      <c r="D239" s="10" t="inlineStr">
        <is>
          <t>Manifest capability</t>
        </is>
      </c>
      <c r="E239" s="10" t="inlineStr">
        <is>
          <t>As a Kurultai operator, I want systematic-debugging so that the system behaves predictably and safely.</t>
        </is>
      </c>
      <c r="F239" s="10" t="inlineStr">
        <is>
          <t>4-phase root cause debugging: understand bugs before fixing.</t>
        </is>
      </c>
      <c r="G239" s="10" t="inlineStr">
        <is>
          <t>config/runtime-config/skills.manifest.json</t>
        </is>
      </c>
      <c r="H239" s="10" t="inlineStr">
        <is>
          <t>test_skill_manifest_has_metadata_for_every_declared_capability; local SKILL.md inventory</t>
        </is>
      </c>
      <c r="I239" s="10" t="inlineStr">
        <is>
          <t>Installed / contract verified</t>
        </is>
      </c>
      <c r="J239" s="10" t="inlineStr">
        <is>
          <t>No</t>
        </is>
      </c>
      <c r="K239" s="10" t="inlineStr">
        <is>
          <t>A local skill package with the same declared name is present.</t>
        </is>
      </c>
    </row>
    <row r="240" outlineLevel="1" ht="52" customHeight="1">
      <c r="A240" s="10" t="inlineStr">
        <is>
          <t>F-0239</t>
        </is>
      </c>
      <c r="B240" s="10" t="inlineStr">
        <is>
          <t>Skills</t>
        </is>
      </c>
      <c r="C240" s="10" t="inlineStr">
        <is>
          <t>teams-meeting-pipeline</t>
        </is>
      </c>
      <c r="D240" s="10" t="inlineStr">
        <is>
          <t>Manifest capability</t>
        </is>
      </c>
      <c r="E240" s="10" t="inlineStr">
        <is>
          <t>As a Kurultai operator, I want teams-meeting-pipeline so that the system behaves predictably and safely.</t>
        </is>
      </c>
      <c r="F240" s="10" t="inlineStr">
        <is>
          <t>Operate the Teams meeting summary pipeline via Hermes CLI — summarize meetings, inspect pipeline status, replay jobs, manage Microsoft Graph subscriptions.</t>
        </is>
      </c>
      <c r="G240" s="10" t="inlineStr">
        <is>
          <t>config/runtime-config/skills.manifest.json</t>
        </is>
      </c>
      <c r="H240" s="10" t="inlineStr">
        <is>
          <t>test_skill_manifest_has_metadata_for_every_declared_capability; local SKILL.md inventory</t>
        </is>
      </c>
      <c r="I240" s="10" t="inlineStr">
        <is>
          <t>Installed / contract verified</t>
        </is>
      </c>
      <c r="J240" s="10" t="inlineStr">
        <is>
          <t>No</t>
        </is>
      </c>
      <c r="K240" s="10" t="inlineStr">
        <is>
          <t>A local skill package with the same declared name is present.</t>
        </is>
      </c>
    </row>
    <row r="241" outlineLevel="1" ht="52" customHeight="1">
      <c r="A241" s="10" t="inlineStr">
        <is>
          <t>F-0240</t>
        </is>
      </c>
      <c r="B241" s="10" t="inlineStr">
        <is>
          <t>Skills</t>
        </is>
      </c>
      <c r="C241" s="10" t="inlineStr">
        <is>
          <t>telephony-voice-agents</t>
        </is>
      </c>
      <c r="D241" s="10" t="inlineStr">
        <is>
          <t>Manifest capability</t>
        </is>
      </c>
      <c r="E241" s="10" t="inlineStr">
        <is>
          <t>As a Kurultai operator, I want telephony-voice-agents so that the system behaves predictably and safely.</t>
        </is>
      </c>
      <c r="F241" s="10" t="inlineStr">
        <is>
          <t>Set up and operate phone/SMS/AI voice agent integrations with Twilio, ElevenLabs, Vapi, Bland, and Hermes/Kublai bridge services.</t>
        </is>
      </c>
      <c r="G241" s="10" t="inlineStr">
        <is>
          <t>config/runtime-config/skills.manifest.json</t>
        </is>
      </c>
      <c r="H241" s="10" t="inlineStr">
        <is>
          <t>test_skill_manifest_has_metadata_for_every_declared_capability; local SKILL.md inventory</t>
        </is>
      </c>
      <c r="I241" s="10" t="inlineStr">
        <is>
          <t>Declared; package unavailable</t>
        </is>
      </c>
      <c r="J241" s="10" t="inlineStr">
        <is>
          <t>Yes</t>
        </is>
      </c>
      <c r="K241" s="10" t="inlineStr">
        <is>
          <t>Declared path .archive/telephony-voice-agents is not available locally.</t>
        </is>
      </c>
    </row>
    <row r="242" outlineLevel="1" ht="52" customHeight="1">
      <c r="A242" s="10" t="inlineStr">
        <is>
          <t>F-0241</t>
        </is>
      </c>
      <c r="B242" s="10" t="inlineStr">
        <is>
          <t>Skills</t>
        </is>
      </c>
      <c r="C242" s="10" t="inlineStr">
        <is>
          <t>tesla-fleet-api</t>
        </is>
      </c>
      <c r="D242" s="10" t="inlineStr">
        <is>
          <t>Manifest capability</t>
        </is>
      </c>
      <c r="E242" s="10" t="inlineStr">
        <is>
          <t>As a Kurultai operator, I want tesla-fleet-api so that the system behaves predictably and safely.</t>
        </is>
      </c>
      <c r="F242" s="10" t="inlineStr">
        <is>
          <t>Read-only Tesla Fleet API workflows for OAuth setup, vehicle inventory, and vehicle-data monitoring without control commands or secret exposure.</t>
        </is>
      </c>
      <c r="G242" s="10" t="inlineStr">
        <is>
          <t>config/runtime-config/skills.manifest.json</t>
        </is>
      </c>
      <c r="H242" s="10" t="inlineStr">
        <is>
          <t>test_skill_manifest_has_metadata_for_every_declared_capability; local SKILL.md inventory</t>
        </is>
      </c>
      <c r="I242" s="10" t="inlineStr">
        <is>
          <t>Declared; package unavailable</t>
        </is>
      </c>
      <c r="J242" s="10" t="inlineStr">
        <is>
          <t>Yes</t>
        </is>
      </c>
      <c r="K242" s="10" t="inlineStr">
        <is>
          <t>Declared path .archive/tesla-fleet-api is not available locally.</t>
        </is>
      </c>
    </row>
    <row r="243" outlineLevel="1" ht="52" customHeight="1">
      <c r="A243" s="10" t="inlineStr">
        <is>
          <t>F-0242</t>
        </is>
      </c>
      <c r="B243" s="10" t="inlineStr">
        <is>
          <t>Skills</t>
        </is>
      </c>
      <c r="C243" s="10" t="inlineStr">
        <is>
          <t>test-driven-development</t>
        </is>
      </c>
      <c r="D243" s="10" t="inlineStr">
        <is>
          <t>Manifest capability</t>
        </is>
      </c>
      <c r="E243" s="10" t="inlineStr">
        <is>
          <t>As a Kurultai operator, I want test-driven-development so that the system behaves predictably and safely.</t>
        </is>
      </c>
      <c r="F243" s="10" t="inlineStr">
        <is>
          <t>TDD: enforce RED-GREEN-REFACTOR, tests before code.</t>
        </is>
      </c>
      <c r="G243" s="10" t="inlineStr">
        <is>
          <t>config/runtime-config/skills.manifest.json</t>
        </is>
      </c>
      <c r="H243" s="10" t="inlineStr">
        <is>
          <t>test_skill_manifest_has_metadata_for_every_declared_capability; local SKILL.md inventory</t>
        </is>
      </c>
      <c r="I243" s="10" t="inlineStr">
        <is>
          <t>Installed / contract verified</t>
        </is>
      </c>
      <c r="J243" s="10" t="inlineStr">
        <is>
          <t>No</t>
        </is>
      </c>
      <c r="K243" s="10" t="inlineStr">
        <is>
          <t>A local skill package with the same declared name is present.</t>
        </is>
      </c>
    </row>
    <row r="244" outlineLevel="1" ht="52" customHeight="1">
      <c r="A244" s="10" t="inlineStr">
        <is>
          <t>F-0243</t>
        </is>
      </c>
      <c r="B244" s="10" t="inlineStr">
        <is>
          <t>Skills</t>
        </is>
      </c>
      <c r="C244" s="10" t="inlineStr">
        <is>
          <t>touchdesigner-mcp</t>
        </is>
      </c>
      <c r="D244" s="10" t="inlineStr">
        <is>
          <t>Manifest capability</t>
        </is>
      </c>
      <c r="E244" s="10" t="inlineStr">
        <is>
          <t>As a Kurultai operator, I want touchdesigner-mcp so that the system behaves predictably and safely.</t>
        </is>
      </c>
      <c r="F244" s="10" t="inlineStr">
        <is>
          <t>Expose the declared touchdesigner-mcp capability when its package is available.</t>
        </is>
      </c>
      <c r="G244" s="10" t="inlineStr">
        <is>
          <t>config/runtime-config/skills.manifest.json</t>
        </is>
      </c>
      <c r="H244" s="10" t="inlineStr">
        <is>
          <t>test_skill_manifest_has_metadata_for_every_declared_capability; local SKILL.md inventory</t>
        </is>
      </c>
      <c r="I244" s="10" t="inlineStr">
        <is>
          <t>Installed / contract verified</t>
        </is>
      </c>
      <c r="J244" s="10" t="inlineStr">
        <is>
          <t>No</t>
        </is>
      </c>
      <c r="K244" s="10" t="inlineStr">
        <is>
          <t>A local skill package with the same declared name is present.</t>
        </is>
      </c>
    </row>
    <row r="245" outlineLevel="1" ht="52" customHeight="1">
      <c r="A245" s="10" t="inlineStr">
        <is>
          <t>F-0244</t>
        </is>
      </c>
      <c r="B245" s="10" t="inlineStr">
        <is>
          <t>Skills</t>
        </is>
      </c>
      <c r="C245" s="10" t="inlineStr">
        <is>
          <t>webhook-subscriptions</t>
        </is>
      </c>
      <c r="D245" s="10" t="inlineStr">
        <is>
          <t>Manifest capability</t>
        </is>
      </c>
      <c r="E245" s="10" t="inlineStr">
        <is>
          <t>As a Kurultai operator, I want webhook-subscriptions so that the system behaves predictably and safely.</t>
        </is>
      </c>
      <c r="F245" s="10" t="inlineStr">
        <is>
          <t>Webhook subscriptions: event-driven agent runs.</t>
        </is>
      </c>
      <c r="G245" s="10" t="inlineStr">
        <is>
          <t>config/runtime-config/skills.manifest.json</t>
        </is>
      </c>
      <c r="H245" s="10" t="inlineStr">
        <is>
          <t>test_skill_manifest_has_metadata_for_every_declared_capability; local SKILL.md inventory</t>
        </is>
      </c>
      <c r="I245" s="10" t="inlineStr">
        <is>
          <t>Declared; package unavailable</t>
        </is>
      </c>
      <c r="J245" s="10" t="inlineStr">
        <is>
          <t>Yes</t>
        </is>
      </c>
      <c r="K245" s="10" t="inlineStr">
        <is>
          <t>Declared path .archive/webhook-subscriptions is not available locally.</t>
        </is>
      </c>
    </row>
    <row r="246" outlineLevel="1" ht="52" customHeight="1">
      <c r="A246" s="10" t="inlineStr">
        <is>
          <t>F-0245</t>
        </is>
      </c>
      <c r="B246" s="10" t="inlineStr">
        <is>
          <t>Skills</t>
        </is>
      </c>
      <c r="C246" s="10" t="inlineStr">
        <is>
          <t>weights-and-biases</t>
        </is>
      </c>
      <c r="D246" s="10" t="inlineStr">
        <is>
          <t>Manifest capability</t>
        </is>
      </c>
      <c r="E246" s="10" t="inlineStr">
        <is>
          <t>As a Kurultai operator, I want weights-and-biases so that the system behaves predictably and safely.</t>
        </is>
      </c>
      <c r="F246" s="10" t="inlineStr">
        <is>
          <t>W&amp;B: log ML experiments, sweeps, model registry, dashboards.</t>
        </is>
      </c>
      <c r="G246" s="10" t="inlineStr">
        <is>
          <t>config/runtime-config/skills.manifest.json</t>
        </is>
      </c>
      <c r="H246" s="10" t="inlineStr">
        <is>
          <t>test_skill_manifest_has_metadata_for_every_declared_capability; local SKILL.md inventory</t>
        </is>
      </c>
      <c r="I246" s="10" t="inlineStr">
        <is>
          <t>Installed / contract verified</t>
        </is>
      </c>
      <c r="J246" s="10" t="inlineStr">
        <is>
          <t>No</t>
        </is>
      </c>
      <c r="K246" s="10" t="inlineStr">
        <is>
          <t>A local skill package with the same declared name is present.</t>
        </is>
      </c>
    </row>
    <row r="247" outlineLevel="1" ht="52" customHeight="1">
      <c r="A247" s="10" t="inlineStr">
        <is>
          <t>F-0246</t>
        </is>
      </c>
      <c r="B247" s="10" t="inlineStr">
        <is>
          <t>Skills</t>
        </is>
      </c>
      <c r="C247" s="10" t="inlineStr">
        <is>
          <t>xurl</t>
        </is>
      </c>
      <c r="D247" s="10" t="inlineStr">
        <is>
          <t>Manifest capability</t>
        </is>
      </c>
      <c r="E247" s="10" t="inlineStr">
        <is>
          <t>As a Kurultai operator, I want xurl so that the system behaves predictably and safely.</t>
        </is>
      </c>
      <c r="F247" s="10" t="inlineStr">
        <is>
          <t>X/Twitter via xurl CLI: post, search, DM, media, v2 API.</t>
        </is>
      </c>
      <c r="G247" s="10" t="inlineStr">
        <is>
          <t>config/runtime-config/skills.manifest.json</t>
        </is>
      </c>
      <c r="H247" s="10" t="inlineStr">
        <is>
          <t>test_skill_manifest_has_metadata_for_every_declared_capability; local SKILL.md inventory</t>
        </is>
      </c>
      <c r="I247" s="10" t="inlineStr">
        <is>
          <t>Installed / contract verified</t>
        </is>
      </c>
      <c r="J247" s="10" t="inlineStr">
        <is>
          <t>No</t>
        </is>
      </c>
      <c r="K247" s="10" t="inlineStr">
        <is>
          <t>A local skill package with the same declared name is present.</t>
        </is>
      </c>
    </row>
    <row r="248" outlineLevel="1" ht="52" customHeight="1">
      <c r="A248" s="10" t="inlineStr">
        <is>
          <t>F-0247</t>
        </is>
      </c>
      <c r="B248" s="10" t="inlineStr">
        <is>
          <t>Skills</t>
        </is>
      </c>
      <c r="C248" s="10" t="inlineStr">
        <is>
          <t>youtube-content</t>
        </is>
      </c>
      <c r="D248" s="10" t="inlineStr">
        <is>
          <t>Manifest capability</t>
        </is>
      </c>
      <c r="E248" s="10" t="inlineStr">
        <is>
          <t>As a Kurultai operator, I want youtube-content so that the system behaves predictably and safely.</t>
        </is>
      </c>
      <c r="F248" s="10" t="inlineStr">
        <is>
          <t>YouTube transcripts to summaries, threads, blogs.</t>
        </is>
      </c>
      <c r="G248" s="10" t="inlineStr">
        <is>
          <t>config/runtime-config/skills.manifest.json</t>
        </is>
      </c>
      <c r="H248" s="10" t="inlineStr">
        <is>
          <t>test_skill_manifest_has_metadata_for_every_declared_capability; local SKILL.md inventory</t>
        </is>
      </c>
      <c r="I248" s="10" t="inlineStr">
        <is>
          <t>Installed / contract verified</t>
        </is>
      </c>
      <c r="J248" s="10" t="inlineStr">
        <is>
          <t>No</t>
        </is>
      </c>
      <c r="K248" s="10" t="inlineStr">
        <is>
          <t>A local skill package with the same declared name is present.</t>
        </is>
      </c>
    </row>
    <row r="249" outlineLevel="1" ht="52" customHeight="1">
      <c r="A249" s="10" t="inlineStr">
        <is>
          <t>F-0248</t>
        </is>
      </c>
      <c r="B249" s="10" t="inlineStr">
        <is>
          <t>Skills</t>
        </is>
      </c>
      <c r="C249" s="10" t="inlineStr">
        <is>
          <t>yuanbao</t>
        </is>
      </c>
      <c r="D249" s="10" t="inlineStr">
        <is>
          <t>Manifest capability</t>
        </is>
      </c>
      <c r="E249" s="10" t="inlineStr">
        <is>
          <t>As a Kurultai operator, I want yuanbao so that the system behaves predictably and safely.</t>
        </is>
      </c>
      <c r="F249" s="10" t="inlineStr">
        <is>
          <t>Yuanbao (元宝) groups: @mention users, query info/members.</t>
        </is>
      </c>
      <c r="G249" s="10" t="inlineStr">
        <is>
          <t>config/runtime-config/skills.manifest.json</t>
        </is>
      </c>
      <c r="H249" s="10" t="inlineStr">
        <is>
          <t>test_skill_manifest_has_metadata_for_every_declared_capability; local SKILL.md inventory</t>
        </is>
      </c>
      <c r="I249" s="10" t="inlineStr">
        <is>
          <t>Installed / contract verified</t>
        </is>
      </c>
      <c r="J249" s="10" t="inlineStr">
        <is>
          <t>No</t>
        </is>
      </c>
      <c r="K249" s="10" t="inlineStr">
        <is>
          <t>A local skill package with the same declared name is present.</t>
        </is>
      </c>
    </row>
    <row r="250" outlineLevel="1" ht="52" customHeight="1">
      <c r="A250" s="10" t="inlineStr">
        <is>
          <t>F-0249</t>
        </is>
      </c>
      <c r="B250" s="10" t="inlineStr">
        <is>
          <t>Skills</t>
        </is>
      </c>
      <c r="C250" s="10" t="inlineStr">
        <is>
          <t>apple-local-automation</t>
        </is>
      </c>
      <c r="D250" s="10" t="inlineStr">
        <is>
          <t>Manifest capability</t>
        </is>
      </c>
      <c r="E250" s="10" t="inlineStr">
        <is>
          <t>As a Kurultai operator, I want apple-local-automation so that the system behaves predictably and safely.</t>
        </is>
      </c>
      <c r="F250" s="10" t="inlineStr">
        <is>
          <t>Operate macOS Apple apps and local desktop automation: Notes, Reminders, Messages/iMessage, Find My, and background Computer Use.</t>
        </is>
      </c>
      <c r="G250" s="10" t="inlineStr">
        <is>
          <t>config/runtime-config/skills.manifest.json</t>
        </is>
      </c>
      <c r="H250" s="10" t="inlineStr">
        <is>
          <t>test_skill_manifest_has_metadata_for_every_declared_capability; local SKILL.md inventory</t>
        </is>
      </c>
      <c r="I250" s="10" t="inlineStr">
        <is>
          <t>Declared; package unavailable</t>
        </is>
      </c>
      <c r="J250" s="10" t="inlineStr">
        <is>
          <t>Yes</t>
        </is>
      </c>
      <c r="K250" s="10" t="inlineStr">
        <is>
          <t>Declared path apple/apple-local-automation is not available locally.</t>
        </is>
      </c>
    </row>
    <row r="251" outlineLevel="1" ht="52" customHeight="1">
      <c r="A251" s="10" t="inlineStr">
        <is>
          <t>F-0250</t>
        </is>
      </c>
      <c r="B251" s="10" t="inlineStr">
        <is>
          <t>Skills</t>
        </is>
      </c>
      <c r="C251" s="10" t="inlineStr">
        <is>
          <t>autonomous-coding-agents</t>
        </is>
      </c>
      <c r="D251" s="10" t="inlineStr">
        <is>
          <t>Manifest capability</t>
        </is>
      </c>
      <c r="E251" s="10" t="inlineStr">
        <is>
          <t>As a Kurultai operator, I want autonomous-coding-agents so that the system behaves predictably and safely.</t>
        </is>
      </c>
      <c r="F251" s="10" t="inlineStr">
        <is>
          <t>Route coding work to Claude Code, Codex, OpenCode, or other CLI agents while Hermes orchestrates scope, verification, and handoff.</t>
        </is>
      </c>
      <c r="G251" s="10" t="inlineStr">
        <is>
          <t>config/runtime-config/skills.manifest.json</t>
        </is>
      </c>
      <c r="H251" s="10" t="inlineStr">
        <is>
          <t>test_skill_manifest_has_metadata_for_every_declared_capability; local SKILL.md inventory</t>
        </is>
      </c>
      <c r="I251" s="10" t="inlineStr">
        <is>
          <t>Declared; package unavailable</t>
        </is>
      </c>
      <c r="J251" s="10" t="inlineStr">
        <is>
          <t>Yes</t>
        </is>
      </c>
      <c r="K251" s="10" t="inlineStr">
        <is>
          <t>Declared path autonomous-ai-agents/autonomous-coding-agents is not available locally.</t>
        </is>
      </c>
    </row>
    <row r="252" outlineLevel="1" ht="52" customHeight="1">
      <c r="A252" s="10" t="inlineStr">
        <is>
          <t>F-0251</t>
        </is>
      </c>
      <c r="B252" s="10" t="inlineStr">
        <is>
          <t>Skills</t>
        </is>
      </c>
      <c r="C252" s="10" t="inlineStr">
        <is>
          <t>hermes-agent</t>
        </is>
      </c>
      <c r="D252" s="10" t="inlineStr">
        <is>
          <t>Manifest capability</t>
        </is>
      </c>
      <c r="E252" s="10" t="inlineStr">
        <is>
          <t>As a Kurultai operator, I want hermes-agent so that the system behaves predictably and safely.</t>
        </is>
      </c>
      <c r="F252" s="10" t="inlineStr">
        <is>
          <t>Compact router for using and extending Hermes Agent — load when configuring, troubleshooting, developing, or operating Hermes. The full historical reference is preserved in references/full-hermes-agent-reference-2026-05-15.md; load only the focused reference needed for the task. For Bitwarden Secrets Manager setup/free-tier questions, load references/bitwarden-secrets-manager.md; for users who authenticated with normal bw CLI and ask what remains, load references/bitwarden-cli-vs-secrets-manager-2026-05-25.md. For OpenAI Codex auth vs GPT Image 2 / Hermes image_gen confusion, load references/openai-codex-auth-gpt-image2.md. For Objective Runner Telegram `/objective` operations, load references/objective-runner-telegram-operations.md.</t>
        </is>
      </c>
      <c r="G252" s="10" t="inlineStr">
        <is>
          <t>config/runtime-config/skills.manifest.json</t>
        </is>
      </c>
      <c r="H252" s="10" t="inlineStr">
        <is>
          <t>test_skill_manifest_has_metadata_for_every_declared_capability; local SKILL.md inventory</t>
        </is>
      </c>
      <c r="I252" s="10" t="inlineStr">
        <is>
          <t>Installed / contract verified</t>
        </is>
      </c>
      <c r="J252" s="10" t="inlineStr">
        <is>
          <t>No</t>
        </is>
      </c>
      <c r="K252" s="10" t="inlineStr">
        <is>
          <t>A local skill package with the same declared name is present.</t>
        </is>
      </c>
    </row>
    <row r="253" outlineLevel="1" ht="52" customHeight="1">
      <c r="A253" s="10" t="inlineStr">
        <is>
          <t>F-0252</t>
        </is>
      </c>
      <c r="B253" s="10" t="inlineStr">
        <is>
          <t>Skills</t>
        </is>
      </c>
      <c r="C253" s="10" t="inlineStr">
        <is>
          <t>kanban-codex-lane</t>
        </is>
      </c>
      <c r="D253" s="10" t="inlineStr">
        <is>
          <t>Manifest capability</t>
        </is>
      </c>
      <c r="E253" s="10" t="inlineStr">
        <is>
          <t>As a Kurultai operator, I want kanban-codex-lane so that the system behaves predictably and safely.</t>
        </is>
      </c>
      <c r="F253" s="10" t="inlineStr">
        <is>
          <t>Use when a Hermes Kanban worker wants to run Codex CLI as an isolated implementation lane while Hermes keeps ownership of task lifecycle, reconciliation, testing, and handoff.</t>
        </is>
      </c>
      <c r="G253" s="10" t="inlineStr">
        <is>
          <t>config/runtime-config/skills.manifest.json</t>
        </is>
      </c>
      <c r="H253" s="10" t="inlineStr">
        <is>
          <t>test_skill_manifest_has_metadata_for_every_declared_capability; local SKILL.md inventory</t>
        </is>
      </c>
      <c r="I253" s="10" t="inlineStr">
        <is>
          <t>Declared; package unavailable</t>
        </is>
      </c>
      <c r="J253" s="10" t="inlineStr">
        <is>
          <t>Yes</t>
        </is>
      </c>
      <c r="K253" s="10" t="inlineStr">
        <is>
          <t>Declared path autonomous-ai-agents/kanban-codex-lane is not available locally.</t>
        </is>
      </c>
    </row>
    <row r="254" outlineLevel="1" ht="52" customHeight="1">
      <c r="A254" s="10" t="inlineStr">
        <is>
          <t>F-0253</t>
        </is>
      </c>
      <c r="B254" s="10" t="inlineStr">
        <is>
          <t>Skills</t>
        </is>
      </c>
      <c r="C254" s="10" t="inlineStr">
        <is>
          <t>go-to-market-planning</t>
        </is>
      </c>
      <c r="D254" s="10" t="inlineStr">
        <is>
          <t>Manifest capability</t>
        </is>
      </c>
      <c r="E254" s="10" t="inlineStr">
        <is>
          <t>As a Kurultai operator, I want go-to-market-planning so that the system behaves predictably and safely.</t>
        </is>
      </c>
      <c r="F254" s="10" t="inlineStr">
        <is>
          <t>Create executable go-to-market plans with autonomous operating loops, ICP, channels, metrics, and approval gates.</t>
        </is>
      </c>
      <c r="G254" s="10" t="inlineStr">
        <is>
          <t>config/runtime-config/skills.manifest.json</t>
        </is>
      </c>
      <c r="H254" s="10" t="inlineStr">
        <is>
          <t>test_skill_manifest_has_metadata_for_every_declared_capability; local SKILL.md inventory</t>
        </is>
      </c>
      <c r="I254" s="10" t="inlineStr">
        <is>
          <t>Declared; package unavailable</t>
        </is>
      </c>
      <c r="J254" s="10" t="inlineStr">
        <is>
          <t>Yes</t>
        </is>
      </c>
      <c r="K254" s="10" t="inlineStr">
        <is>
          <t>Declared path business/go-to-market-planning is not available locally.</t>
        </is>
      </c>
    </row>
    <row r="255" outlineLevel="1" ht="52" customHeight="1">
      <c r="A255" s="10" t="inlineStr">
        <is>
          <t>F-0254</t>
        </is>
      </c>
      <c r="B255" s="10" t="inlineStr">
        <is>
          <t>Skills</t>
        </is>
      </c>
      <c r="C255" s="10" t="inlineStr">
        <is>
          <t>parse-admin-operations</t>
        </is>
      </c>
      <c r="D255" s="10" t="inlineStr">
        <is>
          <t>Manifest capability</t>
        </is>
      </c>
      <c r="E255" s="10" t="inlineStr">
        <is>
          <t>As a Kurultai operator, I want parse-admin-operations so that the system behaves predictably and safely.</t>
        </is>
      </c>
      <c r="F255" s="10" t="inlineStr">
        <is>
          <t>Operate Parse as an autonomous admin surface: support intake, account resolution, API keys, entitlements, billing/payment triage, admin receipts, and escalation policy.</t>
        </is>
      </c>
      <c r="G255" s="10" t="inlineStr">
        <is>
          <t>config/runtime-config/skills.manifest.json</t>
        </is>
      </c>
      <c r="H255" s="10" t="inlineStr">
        <is>
          <t>test_skill_manifest_has_metadata_for_every_declared_capability; local SKILL.md inventory</t>
        </is>
      </c>
      <c r="I255" s="10" t="inlineStr">
        <is>
          <t>Declared; package unavailable</t>
        </is>
      </c>
      <c r="J255" s="10" t="inlineStr">
        <is>
          <t>Yes</t>
        </is>
      </c>
      <c r="K255" s="10" t="inlineStr">
        <is>
          <t>Declared path business/parse-admin-operations is not available locally.</t>
        </is>
      </c>
    </row>
    <row r="256" outlineLevel="1" ht="52" customHeight="1">
      <c r="A256" s="10" t="inlineStr">
        <is>
          <t>F-0255</t>
        </is>
      </c>
      <c r="B256" s="10" t="inlineStr">
        <is>
          <t>Skills</t>
        </is>
      </c>
      <c r="C256" s="10" t="inlineStr">
        <is>
          <t>parse-business-state-report</t>
        </is>
      </c>
      <c r="D256" s="10" t="inlineStr">
        <is>
          <t>Manifest capability</t>
        </is>
      </c>
      <c r="E256" s="10" t="inlineStr">
        <is>
          <t>As a Kurultai operator, I want parse-business-state-report so that the system behaves predictably and safely.</t>
        </is>
      </c>
      <c r="F256" s="10" t="inlineStr">
        <is>
          <t>Produce the operator's detailed morning report on the state of the Parse / parsethis.ai business from live admin, support, billing, product, and operations signals.</t>
        </is>
      </c>
      <c r="G256" s="10" t="inlineStr">
        <is>
          <t>config/runtime-config/skills.manifest.json</t>
        </is>
      </c>
      <c r="H256" s="10" t="inlineStr">
        <is>
          <t>test_skill_manifest_has_metadata_for_every_declared_capability; local SKILL.md inventory</t>
        </is>
      </c>
      <c r="I256" s="10" t="inlineStr">
        <is>
          <t>Declared; package unavailable</t>
        </is>
      </c>
      <c r="J256" s="10" t="inlineStr">
        <is>
          <t>Yes</t>
        </is>
      </c>
      <c r="K256" s="10" t="inlineStr">
        <is>
          <t>Declared path business/parse-business-state-report is not available locally.</t>
        </is>
      </c>
    </row>
    <row r="257" outlineLevel="1" ht="52" customHeight="1">
      <c r="A257" s="10" t="inlineStr">
        <is>
          <t>F-0256</t>
        </is>
      </c>
      <c r="B257" s="10" t="inlineStr">
        <is>
          <t>Skills</t>
        </is>
      </c>
      <c r="C257" s="10" t="inlineStr">
        <is>
          <t>parse-subscription-attribution</t>
        </is>
      </c>
      <c r="D257" s="10" t="inlineStr">
        <is>
          <t>Manifest capability</t>
        </is>
      </c>
      <c r="E257" s="10" t="inlineStr">
        <is>
          <t>As a Kurultai operator, I want parse-subscription-attribution so that the system behaves predictably and safely.</t>
        </is>
      </c>
      <c r="F257" s="10" t="inlineStr">
        <is>
          <t>Attribute Parse subscription tiers to email addresses/users on the operator's command, including custom pricing, $0 grants, and free trial/free-period overrides.</t>
        </is>
      </c>
      <c r="G257" s="10" t="inlineStr">
        <is>
          <t>config/runtime-config/skills.manifest.json</t>
        </is>
      </c>
      <c r="H257" s="10" t="inlineStr">
        <is>
          <t>test_skill_manifest_has_metadata_for_every_declared_capability; local SKILL.md inventory</t>
        </is>
      </c>
      <c r="I257" s="10" t="inlineStr">
        <is>
          <t>Declared; package unavailable</t>
        </is>
      </c>
      <c r="J257" s="10" t="inlineStr">
        <is>
          <t>Yes</t>
        </is>
      </c>
      <c r="K257" s="10" t="inlineStr">
        <is>
          <t>Declared path business/parse-subscription-attribution is not available locally.</t>
        </is>
      </c>
    </row>
    <row r="258" outlineLevel="1" ht="52" customHeight="1">
      <c r="A258" s="10" t="inlineStr">
        <is>
          <t>F-0257</t>
        </is>
      </c>
      <c r="B258" s="10" t="inlineStr">
        <is>
          <t>Skills</t>
        </is>
      </c>
      <c r="C258" s="10" t="inlineStr">
        <is>
          <t>stripe</t>
        </is>
      </c>
      <c r="D258" s="10" t="inlineStr">
        <is>
          <t>Manifest capability</t>
        </is>
      </c>
      <c r="E258" s="10" t="inlineStr">
        <is>
          <t>As a Kurultai operator, I want stripe so that the system behaves predictably and safely.</t>
        </is>
      </c>
      <c r="F258" s="10" t="inlineStr">
        <is>
          <t>Stripe REST API workflows for customers, payments, subscriptions, refunds, and churn research with strict side-effect gates.</t>
        </is>
      </c>
      <c r="G258" s="10" t="inlineStr">
        <is>
          <t>config/runtime-config/skills.manifest.json</t>
        </is>
      </c>
      <c r="H258" s="10" t="inlineStr">
        <is>
          <t>test_skill_manifest_has_metadata_for_every_declared_capability; local SKILL.md inventory</t>
        </is>
      </c>
      <c r="I258" s="10" t="inlineStr">
        <is>
          <t>Declared; package unavailable</t>
        </is>
      </c>
      <c r="J258" s="10" t="inlineStr">
        <is>
          <t>Yes</t>
        </is>
      </c>
      <c r="K258" s="10" t="inlineStr">
        <is>
          <t>Declared path business/stripe is not available locally.</t>
        </is>
      </c>
    </row>
    <row r="259" outlineLevel="1" ht="52" customHeight="1">
      <c r="A259" s="10" t="inlineStr">
        <is>
          <t>F-0258</t>
        </is>
      </c>
      <c r="B259" s="10" t="inlineStr">
        <is>
          <t>Skills</t>
        </is>
      </c>
      <c r="C259" s="10" t="inlineStr">
        <is>
          <t>baoyu-article-illustrator</t>
        </is>
      </c>
      <c r="D259" s="10" t="inlineStr">
        <is>
          <t>Manifest capability</t>
        </is>
      </c>
      <c r="E259" s="10" t="inlineStr">
        <is>
          <t>As a Kurultai operator, I want baoyu-article-illustrator so that the system behaves predictably and safely.</t>
        </is>
      </c>
      <c r="F259" s="10" t="inlineStr">
        <is>
          <t>Article illustrations: type × style × palette consistency.</t>
        </is>
      </c>
      <c r="G259" s="10" t="inlineStr">
        <is>
          <t>config/runtime-config/skills.manifest.json</t>
        </is>
      </c>
      <c r="H259" s="10" t="inlineStr">
        <is>
          <t>test_skill_manifest_has_metadata_for_every_declared_capability; local SKILL.md inventory</t>
        </is>
      </c>
      <c r="I259" s="10" t="inlineStr">
        <is>
          <t>Installed / contract verified</t>
        </is>
      </c>
      <c r="J259" s="10" t="inlineStr">
        <is>
          <t>No</t>
        </is>
      </c>
      <c r="K259" s="10" t="inlineStr">
        <is>
          <t>A local skill package with the same declared name is present.</t>
        </is>
      </c>
    </row>
    <row r="260" outlineLevel="1" ht="52" customHeight="1">
      <c r="A260" s="10" t="inlineStr">
        <is>
          <t>F-0259</t>
        </is>
      </c>
      <c r="B260" s="10" t="inlineStr">
        <is>
          <t>Skills</t>
        </is>
      </c>
      <c r="C260" s="10" t="inlineStr">
        <is>
          <t>baoyu-comic</t>
        </is>
      </c>
      <c r="D260" s="10" t="inlineStr">
        <is>
          <t>Manifest capability</t>
        </is>
      </c>
      <c r="E260" s="10" t="inlineStr">
        <is>
          <t>As a Kurultai operator, I want baoyu-comic so that the system behaves predictably and safely.</t>
        </is>
      </c>
      <c r="F260" s="10" t="inlineStr">
        <is>
          <t>Knowledge comics (知识漫画): educational, biography, tutorial.</t>
        </is>
      </c>
      <c r="G260" s="10" t="inlineStr">
        <is>
          <t>config/runtime-config/skills.manifest.json</t>
        </is>
      </c>
      <c r="H260" s="10" t="inlineStr">
        <is>
          <t>test_skill_manifest_has_metadata_for_every_declared_capability; local SKILL.md inventory</t>
        </is>
      </c>
      <c r="I260" s="10" t="inlineStr">
        <is>
          <t>Installed / contract verified</t>
        </is>
      </c>
      <c r="J260" s="10" t="inlineStr">
        <is>
          <t>No</t>
        </is>
      </c>
      <c r="K260" s="10" t="inlineStr">
        <is>
          <t>A local skill package with the same declared name is present.</t>
        </is>
      </c>
    </row>
    <row r="261" outlineLevel="1" ht="52" customHeight="1">
      <c r="A261" s="10" t="inlineStr">
        <is>
          <t>F-0260</t>
        </is>
      </c>
      <c r="B261" s="10" t="inlineStr">
        <is>
          <t>Skills</t>
        </is>
      </c>
      <c r="C261" s="10" t="inlineStr">
        <is>
          <t>comfyui</t>
        </is>
      </c>
      <c r="D261" s="10" t="inlineStr">
        <is>
          <t>Manifest capability</t>
        </is>
      </c>
      <c r="E261" s="10" t="inlineStr">
        <is>
          <t>As a Kurultai operator, I want comfyui so that the system behaves predictably and safely.</t>
        </is>
      </c>
      <c r="F261" s="10" t="inlineStr">
        <is>
          <t>Generate images, video, and audio with ComfyUI — install, launch, manage nodes/models, run workflows with parameter injection. Uses the official comfy-cli for lifecycle and direct REST/WebSocket API for execution.</t>
        </is>
      </c>
      <c r="G261" s="10" t="inlineStr">
        <is>
          <t>config/runtime-config/skills.manifest.json</t>
        </is>
      </c>
      <c r="H261" s="10" t="inlineStr">
        <is>
          <t>test_skill_manifest_has_metadata_for_every_declared_capability; local SKILL.md inventory</t>
        </is>
      </c>
      <c r="I261" s="10" t="inlineStr">
        <is>
          <t>Installed / contract verified</t>
        </is>
      </c>
      <c r="J261" s="10" t="inlineStr">
        <is>
          <t>No</t>
        </is>
      </c>
      <c r="K261" s="10" t="inlineStr">
        <is>
          <t>A local skill package with the same declared name is present.</t>
        </is>
      </c>
    </row>
    <row r="262" outlineLevel="1" ht="52" customHeight="1">
      <c r="A262" s="10" t="inlineStr">
        <is>
          <t>F-0261</t>
        </is>
      </c>
      <c r="B262" s="10" t="inlineStr">
        <is>
          <t>Skills</t>
        </is>
      </c>
      <c r="C262" s="10" t="inlineStr">
        <is>
          <t>creative-ideation</t>
        </is>
      </c>
      <c r="D262" s="10" t="inlineStr">
        <is>
          <t>Manifest capability</t>
        </is>
      </c>
      <c r="E262" s="10" t="inlineStr">
        <is>
          <t>As a Kurultai operator, I want creative-ideation so that the system behaves predictably and safely.</t>
        </is>
      </c>
      <c r="F262" s="10" t="inlineStr">
        <is>
          <t>Generate project ideas via creative constraints.</t>
        </is>
      </c>
      <c r="G262" s="10" t="inlineStr">
        <is>
          <t>config/runtime-config/skills.manifest.json</t>
        </is>
      </c>
      <c r="H262" s="10" t="inlineStr">
        <is>
          <t>test_skill_manifest_has_metadata_for_every_declared_capability; local SKILL.md inventory</t>
        </is>
      </c>
      <c r="I262" s="10" t="inlineStr">
        <is>
          <t>Installed / contract verified</t>
        </is>
      </c>
      <c r="J262" s="10" t="inlineStr">
        <is>
          <t>No</t>
        </is>
      </c>
      <c r="K262" s="10" t="inlineStr">
        <is>
          <t>A local skill package with the same declared name is present.</t>
        </is>
      </c>
    </row>
    <row r="263" outlineLevel="1" ht="52" customHeight="1">
      <c r="A263" s="10" t="inlineStr">
        <is>
          <t>F-0262</t>
        </is>
      </c>
      <c r="B263" s="10" t="inlineStr">
        <is>
          <t>Skills</t>
        </is>
      </c>
      <c r="C263" s="10" t="inlineStr">
        <is>
          <t>pixel-art</t>
        </is>
      </c>
      <c r="D263" s="10" t="inlineStr">
        <is>
          <t>Manifest capability</t>
        </is>
      </c>
      <c r="E263" s="10" t="inlineStr">
        <is>
          <t>As a Kurultai operator, I want pixel-art so that the system behaves predictably and safely.</t>
        </is>
      </c>
      <c r="F263" s="10" t="inlineStr">
        <is>
          <t>Pixel art w/ era palettes (NES, Game Boy, PICO-8).</t>
        </is>
      </c>
      <c r="G263" s="10" t="inlineStr">
        <is>
          <t>config/runtime-config/skills.manifest.json</t>
        </is>
      </c>
      <c r="H263" s="10" t="inlineStr">
        <is>
          <t>test_skill_manifest_has_metadata_for_every_declared_capability; local SKILL.md inventory</t>
        </is>
      </c>
      <c r="I263" s="10" t="inlineStr">
        <is>
          <t>Installed / contract verified</t>
        </is>
      </c>
      <c r="J263" s="10" t="inlineStr">
        <is>
          <t>No</t>
        </is>
      </c>
      <c r="K263" s="10" t="inlineStr">
        <is>
          <t>A local skill package with the same declared name is present.</t>
        </is>
      </c>
    </row>
    <row r="264" outlineLevel="1" ht="52" customHeight="1">
      <c r="A264" s="10" t="inlineStr">
        <is>
          <t>F-0263</t>
        </is>
      </c>
      <c r="B264" s="10" t="inlineStr">
        <is>
          <t>Skills</t>
        </is>
      </c>
      <c r="C264" s="10" t="inlineStr">
        <is>
          <t>visual-artifact-generation</t>
        </is>
      </c>
      <c r="D264" s="10" t="inlineStr">
        <is>
          <t>Manifest capability</t>
        </is>
      </c>
      <c r="E264" s="10" t="inlineStr">
        <is>
          <t>As a Kurultai operator, I want visual-artifact-generation so that the system behaves predictably and safely.</t>
        </is>
      </c>
      <c r="F264" s="10" t="inlineStr">
        <is>
          <t>Create visual artifacts: diagrams, infographics, HTML mockups, p5.js sketches, design-system references, Excalidraw, and design specs.</t>
        </is>
      </c>
      <c r="G264" s="10" t="inlineStr">
        <is>
          <t>config/runtime-config/skills.manifest.json</t>
        </is>
      </c>
      <c r="H264" s="10" t="inlineStr">
        <is>
          <t>test_skill_manifest_has_metadata_for_every_declared_capability; local SKILL.md inventory</t>
        </is>
      </c>
      <c r="I264" s="10" t="inlineStr">
        <is>
          <t>Declared; package unavailable</t>
        </is>
      </c>
      <c r="J264" s="10" t="inlineStr">
        <is>
          <t>Yes</t>
        </is>
      </c>
      <c r="K264" s="10" t="inlineStr">
        <is>
          <t>Declared path creative/visual-artifact-generation is not available locally.</t>
        </is>
      </c>
    </row>
    <row r="265" outlineLevel="1" ht="52" customHeight="1">
      <c r="A265" s="10" t="inlineStr">
        <is>
          <t>F-0264</t>
        </is>
      </c>
      <c r="B265" s="10" t="inlineStr">
        <is>
          <t>Skills</t>
        </is>
      </c>
      <c r="C265" s="10" t="inlineStr">
        <is>
          <t>hermes-cron-optimization</t>
        </is>
      </c>
      <c r="D265" s="10" t="inlineStr">
        <is>
          <t>Manifest capability</t>
        </is>
      </c>
      <c r="E265" s="10" t="inlineStr">
        <is>
          <t>As a Kurultai operator, I want hermes-cron-optimization so that the system behaves predictably and safely.</t>
        </is>
      </c>
      <c r="F265" s="10" t="inlineStr">
        <is>
          <t>Manage, measure, and reduce Hermes cron job token usage while preserving capability and safety.</t>
        </is>
      </c>
      <c r="G265" s="10" t="inlineStr">
        <is>
          <t>config/runtime-config/skills.manifest.json</t>
        </is>
      </c>
      <c r="H265" s="10" t="inlineStr">
        <is>
          <t>test_skill_manifest_has_metadata_for_every_declared_capability; local SKILL.md inventory</t>
        </is>
      </c>
      <c r="I265" s="10" t="inlineStr">
        <is>
          <t>Declared; package unavailable</t>
        </is>
      </c>
      <c r="J265" s="10" t="inlineStr">
        <is>
          <t>Yes</t>
        </is>
      </c>
      <c r="K265" s="10" t="inlineStr">
        <is>
          <t>Declared path devops/hermes-cron-optimization is not available locally.</t>
        </is>
      </c>
    </row>
    <row r="266" outlineLevel="1" ht="52" customHeight="1">
      <c r="A266" s="10" t="inlineStr">
        <is>
          <t>F-0265</t>
        </is>
      </c>
      <c r="B266" s="10" t="inlineStr">
        <is>
          <t>Skills</t>
        </is>
      </c>
      <c r="C266" s="10" t="inlineStr">
        <is>
          <t>kanban-interruption-handoff</t>
        </is>
      </c>
      <c r="D266" s="10" t="inlineStr">
        <is>
          <t>Manifest capability</t>
        </is>
      </c>
      <c r="E266" s="10" t="inlineStr">
        <is>
          <t>As a Kurultai operator, I want kanban-interruption-handoff so that the system behaves predictably and safely.</t>
        </is>
      </c>
      <c r="F266" s="10" t="inlineStr">
        <is>
          <t>Preserve interrupted, preempted, blocked, or concurrent work by routing it into Hermes Kanban tasks with context, receipts, exact completion reporting, and active blocker resolution.</t>
        </is>
      </c>
      <c r="G266" s="10" t="inlineStr">
        <is>
          <t>config/runtime-config/skills.manifest.json</t>
        </is>
      </c>
      <c r="H266" s="10" t="inlineStr">
        <is>
          <t>test_skill_manifest_has_metadata_for_every_declared_capability; local SKILL.md inventory</t>
        </is>
      </c>
      <c r="I266" s="10" t="inlineStr">
        <is>
          <t>Declared; package unavailable</t>
        </is>
      </c>
      <c r="J266" s="10" t="inlineStr">
        <is>
          <t>Yes</t>
        </is>
      </c>
      <c r="K266" s="10" t="inlineStr">
        <is>
          <t>Declared path devops/kanban-interruption-handoff is not available locally.</t>
        </is>
      </c>
    </row>
    <row r="267" outlineLevel="1" ht="52" customHeight="1">
      <c r="A267" s="10" t="inlineStr">
        <is>
          <t>F-0266</t>
        </is>
      </c>
      <c r="B267" s="10" t="inlineStr">
        <is>
          <t>Skills</t>
        </is>
      </c>
      <c r="C267" s="10" t="inlineStr">
        <is>
          <t>kanban-plan-shepherding</t>
        </is>
      </c>
      <c r="D267" s="10" t="inlineStr">
        <is>
          <t>Manifest capability</t>
        </is>
      </c>
      <c r="E267" s="10" t="inlineStr">
        <is>
          <t>As a Kurultai operator, I want kanban-plan-shepherding so that the system behaves predictably and safely.</t>
        </is>
      </c>
      <c r="F267" s="10" t="inlineStr">
        <is>
          <t>Use when the operator asks to send an implementation plan, recommendation bundle, or multi-task proposal to Hermes Kanban triage and shepherd it through.</t>
        </is>
      </c>
      <c r="G267" s="10" t="inlineStr">
        <is>
          <t>config/runtime-config/skills.manifest.json</t>
        </is>
      </c>
      <c r="H267" s="10" t="inlineStr">
        <is>
          <t>test_skill_manifest_has_metadata_for_every_declared_capability; local SKILL.md inventory</t>
        </is>
      </c>
      <c r="I267" s="10" t="inlineStr">
        <is>
          <t>Declared; package unavailable</t>
        </is>
      </c>
      <c r="J267" s="10" t="inlineStr">
        <is>
          <t>Yes</t>
        </is>
      </c>
      <c r="K267" s="10" t="inlineStr">
        <is>
          <t>Declared path devops/kanban-plan-shepherding is not available locally.</t>
        </is>
      </c>
    </row>
    <row r="268" outlineLevel="1" ht="52" customHeight="1">
      <c r="A268" s="10" t="inlineStr">
        <is>
          <t>F-0267</t>
        </is>
      </c>
      <c r="B268" s="10" t="inlineStr">
        <is>
          <t>Skills</t>
        </is>
      </c>
      <c r="C268" s="10" t="inlineStr">
        <is>
          <t>kanban-task-lifecycle</t>
        </is>
      </c>
      <c r="D268" s="10" t="inlineStr">
        <is>
          <t>Manifest capability</t>
        </is>
      </c>
      <c r="E268" s="10" t="inlineStr">
        <is>
          <t>As a Kurultai operator, I want kanban-task-lifecycle so that the system behaves predictably and safely.</t>
        </is>
      </c>
      <c r="F268" s="10" t="inlineStr">
        <is>
          <t>Use when deciding whether work should become a Hermes Kanban task, choosing the right Kurultai assignee, dispatching it, monitoring it to completion, and actively managing blockers or follow-up work.</t>
        </is>
      </c>
      <c r="G268" s="10" t="inlineStr">
        <is>
          <t>config/runtime-config/skills.manifest.json</t>
        </is>
      </c>
      <c r="H268" s="10" t="inlineStr">
        <is>
          <t>test_skill_manifest_has_metadata_for_every_declared_capability; local SKILL.md inventory</t>
        </is>
      </c>
      <c r="I268" s="10" t="inlineStr">
        <is>
          <t>Declared; package unavailable</t>
        </is>
      </c>
      <c r="J268" s="10" t="inlineStr">
        <is>
          <t>Yes</t>
        </is>
      </c>
      <c r="K268" s="10" t="inlineStr">
        <is>
          <t>Declared path devops/kanban-task-lifecycle is not available locally.</t>
        </is>
      </c>
    </row>
    <row r="269" outlineLevel="1" ht="52" customHeight="1">
      <c r="A269" s="10" t="inlineStr">
        <is>
          <t>F-0268</t>
        </is>
      </c>
      <c r="B269" s="10" t="inlineStr">
        <is>
          <t>Skills</t>
        </is>
      </c>
      <c r="C269" s="10" t="inlineStr">
        <is>
          <t>webhook-subscriptions</t>
        </is>
      </c>
      <c r="D269" s="10" t="inlineStr">
        <is>
          <t>Manifest capability</t>
        </is>
      </c>
      <c r="E269" s="10" t="inlineStr">
        <is>
          <t>As a Kurultai operator, I want webhook-subscriptions so that the system behaves predictably and safely.</t>
        </is>
      </c>
      <c r="F269" s="10" t="inlineStr">
        <is>
          <t>Webhook subscriptions: event-driven agent runs.</t>
        </is>
      </c>
      <c r="G269" s="10" t="inlineStr">
        <is>
          <t>config/runtime-config/skills.manifest.json</t>
        </is>
      </c>
      <c r="H269" s="10" t="inlineStr">
        <is>
          <t>test_skill_manifest_has_metadata_for_every_declared_capability; local SKILL.md inventory</t>
        </is>
      </c>
      <c r="I269" s="10" t="inlineStr">
        <is>
          <t>Declared; package unavailable</t>
        </is>
      </c>
      <c r="J269" s="10" t="inlineStr">
        <is>
          <t>Yes</t>
        </is>
      </c>
      <c r="K269" s="10" t="inlineStr">
        <is>
          <t>Declared path devops/webhook-subscriptions is not available locally.</t>
        </is>
      </c>
    </row>
    <row r="270" outlineLevel="1" ht="52" customHeight="1">
      <c r="A270" s="10" t="inlineStr">
        <is>
          <t>F-0269</t>
        </is>
      </c>
      <c r="B270" s="10" t="inlineStr">
        <is>
          <t>Skills</t>
        </is>
      </c>
      <c r="C270" s="10" t="inlineStr">
        <is>
          <t>x402-payment-address-lookup</t>
        </is>
      </c>
      <c r="D270" s="10" t="inlineStr">
        <is>
          <t>Manifest capability</t>
        </is>
      </c>
      <c r="E270" s="10" t="inlineStr">
        <is>
          <t>As a Kurultai operator, I want x402-payment-address-lookup so that the system behaves predictably and safely.</t>
        </is>
      </c>
      <c r="F270" s="10" t="inlineStr">
        <is>
          <t>Find and verify an x402 payment deposit/payTo address safely, without exposing private keys or secrets.</t>
        </is>
      </c>
      <c r="G270" s="10" t="inlineStr">
        <is>
          <t>config/runtime-config/skills.manifest.json</t>
        </is>
      </c>
      <c r="H270" s="10" t="inlineStr">
        <is>
          <t>test_skill_manifest_has_metadata_for_every_declared_capability; local SKILL.md inventory</t>
        </is>
      </c>
      <c r="I270" s="10" t="inlineStr">
        <is>
          <t>Declared; package unavailable</t>
        </is>
      </c>
      <c r="J270" s="10" t="inlineStr">
        <is>
          <t>Yes</t>
        </is>
      </c>
      <c r="K270" s="10" t="inlineStr">
        <is>
          <t>Declared path devops/x402-payment-address-lookup is not available locally.</t>
        </is>
      </c>
    </row>
    <row r="271" outlineLevel="1" ht="52" customHeight="1">
      <c r="A271" s="10" t="inlineStr">
        <is>
          <t>F-0270</t>
        </is>
      </c>
      <c r="B271" s="10" t="inlineStr">
        <is>
          <t>Skills</t>
        </is>
      </c>
      <c r="C271" s="10" t="inlineStr">
        <is>
          <t>minecraft-modpack-server</t>
        </is>
      </c>
      <c r="D271" s="10" t="inlineStr">
        <is>
          <t>Manifest capability</t>
        </is>
      </c>
      <c r="E271" s="10" t="inlineStr">
        <is>
          <t>As a Kurultai operator, I want minecraft-modpack-server so that the system behaves predictably and safely.</t>
        </is>
      </c>
      <c r="F271" s="10" t="inlineStr">
        <is>
          <t>Host modded Minecraft servers (CurseForge, Modrinth).</t>
        </is>
      </c>
      <c r="G271" s="10" t="inlineStr">
        <is>
          <t>config/runtime-config/skills.manifest.json</t>
        </is>
      </c>
      <c r="H271" s="10" t="inlineStr">
        <is>
          <t>test_skill_manifest_has_metadata_for_every_declared_capability; local SKILL.md inventory</t>
        </is>
      </c>
      <c r="I271" s="10" t="inlineStr">
        <is>
          <t>Installed / contract verified</t>
        </is>
      </c>
      <c r="J271" s="10" t="inlineStr">
        <is>
          <t>No</t>
        </is>
      </c>
      <c r="K271" s="10" t="inlineStr">
        <is>
          <t>A local skill package with the same declared name is present.</t>
        </is>
      </c>
    </row>
    <row r="272" outlineLevel="1" ht="52" customHeight="1">
      <c r="A272" s="10" t="inlineStr">
        <is>
          <t>F-0271</t>
        </is>
      </c>
      <c r="B272" s="10" t="inlineStr">
        <is>
          <t>Skills</t>
        </is>
      </c>
      <c r="C272" s="10" t="inlineStr">
        <is>
          <t>pokemon-player</t>
        </is>
      </c>
      <c r="D272" s="10" t="inlineStr">
        <is>
          <t>Manifest capability</t>
        </is>
      </c>
      <c r="E272" s="10" t="inlineStr">
        <is>
          <t>As a Kurultai operator, I want pokemon-player so that the system behaves predictably and safely.</t>
        </is>
      </c>
      <c r="F272" s="10" t="inlineStr">
        <is>
          <t>Play Pokemon via headless emulator + RAM reads.</t>
        </is>
      </c>
      <c r="G272" s="10" t="inlineStr">
        <is>
          <t>config/runtime-config/skills.manifest.json</t>
        </is>
      </c>
      <c r="H272" s="10" t="inlineStr">
        <is>
          <t>test_skill_manifest_has_metadata_for_every_declared_capability; local SKILL.md inventory</t>
        </is>
      </c>
      <c r="I272" s="10" t="inlineStr">
        <is>
          <t>Installed / contract verified</t>
        </is>
      </c>
      <c r="J272" s="10" t="inlineStr">
        <is>
          <t>No</t>
        </is>
      </c>
      <c r="K272" s="10" t="inlineStr">
        <is>
          <t>A local skill package with the same declared name is present.</t>
        </is>
      </c>
    </row>
    <row r="273" outlineLevel="1" ht="52" customHeight="1">
      <c r="A273" s="10" t="inlineStr">
        <is>
          <t>F-0272</t>
        </is>
      </c>
      <c r="B273" s="10" t="inlineStr">
        <is>
          <t>Skills</t>
        </is>
      </c>
      <c r="C273" s="10" t="inlineStr">
        <is>
          <t>github-workflows</t>
        </is>
      </c>
      <c r="D273" s="10" t="inlineStr">
        <is>
          <t>Manifest capability</t>
        </is>
      </c>
      <c r="E273" s="10" t="inlineStr">
        <is>
          <t>As a Kurultai operator, I want github-workflows so that the system behaves predictably and safely.</t>
        </is>
      </c>
      <c r="F273" s="10" t="inlineStr">
        <is>
          <t>End-to-end GitHub work: auth, repository setup, codebase inspection, issues, PR lifecycle, CI, and review via gh/git/API.</t>
        </is>
      </c>
      <c r="G273" s="10" t="inlineStr">
        <is>
          <t>config/runtime-config/skills.manifest.json</t>
        </is>
      </c>
      <c r="H273" s="10" t="inlineStr">
        <is>
          <t>test_skill_manifest_has_metadata_for_every_declared_capability; local SKILL.md inventory</t>
        </is>
      </c>
      <c r="I273" s="10" t="inlineStr">
        <is>
          <t>Declared; package unavailable</t>
        </is>
      </c>
      <c r="J273" s="10" t="inlineStr">
        <is>
          <t>Yes</t>
        </is>
      </c>
      <c r="K273" s="10" t="inlineStr">
        <is>
          <t>Declared path github/github-workflows is not available locally.</t>
        </is>
      </c>
    </row>
    <row r="274" outlineLevel="1" ht="52" customHeight="1">
      <c r="A274" s="10" t="inlineStr">
        <is>
          <t>F-0273</t>
        </is>
      </c>
      <c r="B274" s="10" t="inlineStr">
        <is>
          <t>Skills</t>
        </is>
      </c>
      <c r="C274" s="10" t="inlineStr">
        <is>
          <t>brain-media-doc-intake</t>
        </is>
      </c>
      <c r="D274" s="10" t="inlineStr">
        <is>
          <t>Manifest capability</t>
        </is>
      </c>
      <c r="E274" s="10" t="inlineStr">
        <is>
          <t>As a Kurultai operator, I want brain-media-doc-intake so that the system behaves predictably and safely.</t>
        </is>
      </c>
      <c r="F274" s="10" t="inlineStr">
        <is>
          <t>Save media, documents, screenshots, PDFs, and supporting files into the Brain with privacy routing, manifests, local-only Kanban delegation, indexing policy, and verification.</t>
        </is>
      </c>
      <c r="G274" s="10" t="inlineStr">
        <is>
          <t>config/runtime-config/skills.manifest.json</t>
        </is>
      </c>
      <c r="H274" s="10" t="inlineStr">
        <is>
          <t>test_skill_manifest_has_metadata_for_every_declared_capability; local SKILL.md inventory</t>
        </is>
      </c>
      <c r="I274" s="10" t="inlineStr">
        <is>
          <t>Declared; package unavailable</t>
        </is>
      </c>
      <c r="J274" s="10" t="inlineStr">
        <is>
          <t>Yes</t>
        </is>
      </c>
      <c r="K274" s="10" t="inlineStr">
        <is>
          <t>Declared path kurultai/brain-media-doc-intake is not available locally.</t>
        </is>
      </c>
    </row>
    <row r="275" outlineLevel="1" ht="52" customHeight="1">
      <c r="A275" s="10" t="inlineStr">
        <is>
          <t>F-0274</t>
        </is>
      </c>
      <c r="B275" s="10" t="inlineStr">
        <is>
          <t>Skills</t>
        </is>
      </c>
      <c r="C275" s="10" t="inlineStr">
        <is>
          <t>brain-report-ingest-propose</t>
        </is>
      </c>
      <c r="D275" s="10" t="inlineStr">
        <is>
          <t>Manifest capability</t>
        </is>
      </c>
      <c r="E275" s="10" t="inlineStr">
        <is>
          <t>As a Kurultai operator, I want brain-report-ingest-propose so that the system behaves predictably and safely.</t>
        </is>
      </c>
      <c r="F275" s="10" t="inlineStr">
        <is>
          <t>Report/link intake for brain synthesis and proposal packets.</t>
        </is>
      </c>
      <c r="G275" s="10" t="inlineStr">
        <is>
          <t>config/runtime-config/skills.manifest.json</t>
        </is>
      </c>
      <c r="H275" s="10" t="inlineStr">
        <is>
          <t>test_skill_manifest_has_metadata_for_every_declared_capability; local SKILL.md inventory</t>
        </is>
      </c>
      <c r="I275" s="10" t="inlineStr">
        <is>
          <t>Declared; package unavailable</t>
        </is>
      </c>
      <c r="J275" s="10" t="inlineStr">
        <is>
          <t>Yes</t>
        </is>
      </c>
      <c r="K275" s="10" t="inlineStr">
        <is>
          <t>Declared path kurultai/brain-report-ingest-propose is not available locally.</t>
        </is>
      </c>
    </row>
    <row r="276" outlineLevel="1" ht="52" customHeight="1">
      <c r="A276" s="10" t="inlineStr">
        <is>
          <t>F-0275</t>
        </is>
      </c>
      <c r="B276" s="10" t="inlineStr">
        <is>
          <t>Skills</t>
        </is>
      </c>
      <c r="C276" s="10" t="inlineStr">
        <is>
          <t>brain-vault-weekly-synthesis</t>
        </is>
      </c>
      <c r="D276" s="10" t="inlineStr">
        <is>
          <t>Manifest capability</t>
        </is>
      </c>
      <c r="E276" s="10" t="inlineStr">
        <is>
          <t>As a Kurultai operator, I want brain-vault-weekly-synthesis so that the system behaves predictably and safely.</t>
        </is>
      </c>
      <c r="F276" s="10" t="inlineStr">
        <is>
          <t>Produce the Brain Vault Loop weekly synthesis layer across daily briefs, Research Control Room outputs, signal metrics, graph/context refreshes, and recent Brain receipts without duplicating daily reports.</t>
        </is>
      </c>
      <c r="G276" s="10" t="inlineStr">
        <is>
          <t>config/runtime-config/skills.manifest.json</t>
        </is>
      </c>
      <c r="H276" s="10" t="inlineStr">
        <is>
          <t>test_skill_manifest_has_metadata_for_every_declared_capability; local SKILL.md inventory</t>
        </is>
      </c>
      <c r="I276" s="10" t="inlineStr">
        <is>
          <t>Declared; package unavailable</t>
        </is>
      </c>
      <c r="J276" s="10" t="inlineStr">
        <is>
          <t>Yes</t>
        </is>
      </c>
      <c r="K276" s="10" t="inlineStr">
        <is>
          <t>Declared path kurultai/brain-vault-weekly-synthesis is not available locally.</t>
        </is>
      </c>
    </row>
    <row r="277" outlineLevel="1" ht="52" customHeight="1">
      <c r="A277" s="10" t="inlineStr">
        <is>
          <t>F-0276</t>
        </is>
      </c>
      <c r="B277" s="10" t="inlineStr">
        <is>
          <t>Skills</t>
        </is>
      </c>
      <c r="C277" s="10" t="inlineStr">
        <is>
          <t>brain-wiki-operations</t>
        </is>
      </c>
      <c r="D277" s="10" t="inlineStr">
        <is>
          <t>Manifest capability</t>
        </is>
      </c>
      <c r="E277" s="10" t="inlineStr">
        <is>
          <t>As a Kurultai operator, I want brain-wiki-operations so that the system behaves predictably and safely.</t>
        </is>
      </c>
      <c r="F277" s="10" t="inlineStr">
        <is>
          <t>Router for the operator's Brain wiki operations: context/search, durable writes, ingest, QMD/indexing, privacy boundaries, research capture, curation, and Brain-service maintenance.</t>
        </is>
      </c>
      <c r="G277" s="10" t="inlineStr">
        <is>
          <t>config/runtime-config/skills.manifest.json</t>
        </is>
      </c>
      <c r="H277" s="10" t="inlineStr">
        <is>
          <t>test_skill_manifest_has_metadata_for_every_declared_capability; local SKILL.md inventory</t>
        </is>
      </c>
      <c r="I277" s="10" t="inlineStr">
        <is>
          <t>Declared; package unavailable</t>
        </is>
      </c>
      <c r="J277" s="10" t="inlineStr">
        <is>
          <t>Yes</t>
        </is>
      </c>
      <c r="K277" s="10" t="inlineStr">
        <is>
          <t>Declared path kurultai/brain-wiki-operations is not available locally.</t>
        </is>
      </c>
    </row>
    <row r="278" outlineLevel="1" ht="52" customHeight="1">
      <c r="A278" s="10" t="inlineStr">
        <is>
          <t>F-0277</t>
        </is>
      </c>
      <c r="B278" s="10" t="inlineStr">
        <is>
          <t>Skills</t>
        </is>
      </c>
      <c r="C278" s="10" t="inlineStr">
        <is>
          <t>brain-wiki-references</t>
        </is>
      </c>
      <c r="D278" s="10" t="inlineStr">
        <is>
          <t>Manifest capability</t>
        </is>
      </c>
      <c r="E278" s="10" t="inlineStr">
        <is>
          <t>As a Kurultai operator, I want brain-wiki-references so that the system behaves predictably and safely.</t>
        </is>
      </c>
      <c r="F278" s="10" t="inlineStr">
        <is>
          <t>On-demand reference appendix for brain-wiki-operations: detailed Brain ingest/Dreamer/QMD/Parse-screening runbook pointers. Load only when a specific edge case is needed.</t>
        </is>
      </c>
      <c r="G278" s="10" t="inlineStr">
        <is>
          <t>config/runtime-config/skills.manifest.json</t>
        </is>
      </c>
      <c r="H278" s="10" t="inlineStr">
        <is>
          <t>test_skill_manifest_has_metadata_for_every_declared_capability; local SKILL.md inventory</t>
        </is>
      </c>
      <c r="I278" s="10" t="inlineStr">
        <is>
          <t>Declared; package unavailable</t>
        </is>
      </c>
      <c r="J278" s="10" t="inlineStr">
        <is>
          <t>Yes</t>
        </is>
      </c>
      <c r="K278" s="10" t="inlineStr">
        <is>
          <t>Declared path kurultai/brain-wiki-references is not available locally.</t>
        </is>
      </c>
    </row>
    <row r="279" outlineLevel="1" ht="52" customHeight="1">
      <c r="A279" s="10" t="inlineStr">
        <is>
          <t>F-0278</t>
        </is>
      </c>
      <c r="B279" s="10" t="inlineStr">
        <is>
          <t>Skills</t>
        </is>
      </c>
      <c r="C279" s="10" t="inlineStr">
        <is>
          <t>buildroom-operations</t>
        </is>
      </c>
      <c r="D279" s="10" t="inlineStr">
        <is>
          <t>Manifest capability</t>
        </is>
      </c>
      <c r="E279" s="10" t="inlineStr">
        <is>
          <t>As a Kurultai operator, I want buildroom-operations so that the system behaves predictably and safely.</t>
        </is>
      </c>
      <c r="F279" s="10" t="inlineStr">
        <is>
          <t>Operate and extend Kurultai buildrooms: research-to-buildroom compilation, room validation, operator summaries, Control Room reports, receipts, tests, leakage scans, and PR-safe public artifacts.</t>
        </is>
      </c>
      <c r="G279" s="10" t="inlineStr">
        <is>
          <t>config/runtime-config/skills.manifest.json</t>
        </is>
      </c>
      <c r="H279" s="10" t="inlineStr">
        <is>
          <t>test_skill_manifest_has_metadata_for_every_declared_capability; local SKILL.md inventory</t>
        </is>
      </c>
      <c r="I279" s="10" t="inlineStr">
        <is>
          <t>Declared; package unavailable</t>
        </is>
      </c>
      <c r="J279" s="10" t="inlineStr">
        <is>
          <t>Yes</t>
        </is>
      </c>
      <c r="K279" s="10" t="inlineStr">
        <is>
          <t>Declared path kurultai/buildroom-operations is not available locally.</t>
        </is>
      </c>
    </row>
    <row r="280" outlineLevel="1" ht="52" customHeight="1">
      <c r="A280" s="10" t="inlineStr">
        <is>
          <t>F-0279</t>
        </is>
      </c>
      <c r="B280" s="10" t="inlineStr">
        <is>
          <t>Skills</t>
        </is>
      </c>
      <c r="C280" s="10" t="inlineStr">
        <is>
          <t>content-os-workflows</t>
        </is>
      </c>
      <c r="D280" s="10" t="inlineStr">
        <is>
          <t>Manifest capability</t>
        </is>
      </c>
      <c r="E280" s="10" t="inlineStr">
        <is>
          <t>As a Kurultai operator, I want content-os-workflows so that the system behaves predictably and safely.</t>
        </is>
      </c>
      <c r="F280" s="10" t="inlineStr">
        <is>
          <t>Route the operator's Content OS work: inbox processing, connection mining, briefs, drafting, publishing gates, return path, and performance review.</t>
        </is>
      </c>
      <c r="G280" s="10" t="inlineStr">
        <is>
          <t>config/runtime-config/skills.manifest.json</t>
        </is>
      </c>
      <c r="H280" s="10" t="inlineStr">
        <is>
          <t>test_skill_manifest_has_metadata_for_every_declared_capability; local SKILL.md inventory</t>
        </is>
      </c>
      <c r="I280" s="10" t="inlineStr">
        <is>
          <t>Declared; package unavailable</t>
        </is>
      </c>
      <c r="J280" s="10" t="inlineStr">
        <is>
          <t>Yes</t>
        </is>
      </c>
      <c r="K280" s="10" t="inlineStr">
        <is>
          <t>Declared path kurultai/content-os-workflows is not available locally.</t>
        </is>
      </c>
    </row>
    <row r="281" outlineLevel="1" ht="52" customHeight="1">
      <c r="A281" s="10" t="inlineStr">
        <is>
          <t>F-0280</t>
        </is>
      </c>
      <c r="B281" s="10" t="inlineStr">
        <is>
          <t>Skills</t>
        </is>
      </c>
      <c r="C281" s="10" t="inlineStr">
        <is>
          <t>fantasy-sumo-operations</t>
        </is>
      </c>
      <c r="D281" s="10" t="inlineStr">
        <is>
          <t>Manifest capability</t>
        </is>
      </c>
      <c r="E281" s="10" t="inlineStr">
        <is>
          <t>As a Kurultai operator, I want fantasy-sumo-operations so that the system behaves predictably and safely.</t>
        </is>
      </c>
      <c r="F281" s="10" t="inlineStr">
        <is>
          <t>Operate, extend, debug, and deploy the operator's fantasy sumo league site without spoilers</t>
        </is>
      </c>
      <c r="G281" s="10" t="inlineStr">
        <is>
          <t>config/runtime-config/skills.manifest.json</t>
        </is>
      </c>
      <c r="H281" s="10" t="inlineStr">
        <is>
          <t>test_skill_manifest_has_metadata_for_every_declared_capability; local SKILL.md inventory</t>
        </is>
      </c>
      <c r="I281" s="10" t="inlineStr">
        <is>
          <t>Declared; package unavailable</t>
        </is>
      </c>
      <c r="J281" s="10" t="inlineStr">
        <is>
          <t>Yes</t>
        </is>
      </c>
      <c r="K281" s="10" t="inlineStr">
        <is>
          <t>Declared path kurultai/fantasy-sumo-operations is not available locally.</t>
        </is>
      </c>
    </row>
    <row r="282" outlineLevel="1" ht="52" customHeight="1">
      <c r="A282" s="10" t="inlineStr">
        <is>
          <t>F-0281</t>
        </is>
      </c>
      <c r="B282" s="10" t="inlineStr">
        <is>
          <t>Skills</t>
        </is>
      </c>
      <c r="C282" s="10" t="inlineStr">
        <is>
          <t>fantasy-sumo-spoiler-fence</t>
        </is>
      </c>
      <c r="D282" s="10" t="inlineStr">
        <is>
          <t>Manifest capability</t>
        </is>
      </c>
      <c r="E282" s="10" t="inlineStr">
        <is>
          <t>As a Kurultai operator, I want fantasy-sumo-spoiler-fence so that the system behaves predictably and safely.</t>
        </is>
      </c>
      <c r="F282" s="10" t="inlineStr">
        <is>
          <t>&gt;</t>
        </is>
      </c>
      <c r="G282" s="10" t="inlineStr">
        <is>
          <t>config/runtime-config/skills.manifest.json</t>
        </is>
      </c>
      <c r="H282" s="10" t="inlineStr">
        <is>
          <t>test_skill_manifest_has_metadata_for_every_declared_capability; local SKILL.md inventory</t>
        </is>
      </c>
      <c r="I282" s="10" t="inlineStr">
        <is>
          <t>Declared; package unavailable</t>
        </is>
      </c>
      <c r="J282" s="10" t="inlineStr">
        <is>
          <t>Yes</t>
        </is>
      </c>
      <c r="K282" s="10" t="inlineStr">
        <is>
          <t>Declared path kurultai/fantasy-sumo-spoiler-fence is not available locally.</t>
        </is>
      </c>
    </row>
    <row r="283" outlineLevel="1" ht="52" customHeight="1">
      <c r="A283" s="10" t="inlineStr">
        <is>
          <t>F-0282</t>
        </is>
      </c>
      <c r="B283" s="10" t="inlineStr">
        <is>
          <t>Skills</t>
        </is>
      </c>
      <c r="C283" s="10" t="inlineStr">
        <is>
          <t>improve</t>
        </is>
      </c>
      <c r="D283" s="10" t="inlineStr">
        <is>
          <t>Manifest capability</t>
        </is>
      </c>
      <c r="E283" s="10" t="inlineStr">
        <is>
          <t>As a Kurultai operator, I want improve so that the system behaves predictably and safely.</t>
        </is>
      </c>
      <c r="F283" s="10" t="inlineStr">
        <is>
          <t>Use for explicit `/improve [target]` commands or explicit deep system-improvement audits of Kurultai/Hermes/Brain/agent operating loops; routes a broad request into live evidence, durable report, prioritized safe actions, and proof metrics. Do not load for casual uses of the word "improve" or narrow one-file/PR edits unless framed as a system audit.</t>
        </is>
      </c>
      <c r="G283" s="10" t="inlineStr">
        <is>
          <t>config/runtime-config/skills.manifest.json</t>
        </is>
      </c>
      <c r="H283" s="10" t="inlineStr">
        <is>
          <t>test_skill_manifest_has_metadata_for_every_declared_capability; local SKILL.md inventory</t>
        </is>
      </c>
      <c r="I283" s="10" t="inlineStr">
        <is>
          <t>Declared; package unavailable</t>
        </is>
      </c>
      <c r="J283" s="10" t="inlineStr">
        <is>
          <t>Yes</t>
        </is>
      </c>
      <c r="K283" s="10" t="inlineStr">
        <is>
          <t>Declared path kurultai/improve is not available locally.</t>
        </is>
      </c>
    </row>
    <row r="284" outlineLevel="1" ht="52" customHeight="1">
      <c r="A284" s="10" t="inlineStr">
        <is>
          <t>F-0283</t>
        </is>
      </c>
      <c r="B284" s="10" t="inlineStr">
        <is>
          <t>Skills</t>
        </is>
      </c>
      <c r="C284" s="10" t="inlineStr">
        <is>
          <t>kurultai-agent-health</t>
        </is>
      </c>
      <c r="D284" s="10" t="inlineStr">
        <is>
          <t>Manifest capability</t>
        </is>
      </c>
      <c r="E284" s="10" t="inlineStr">
        <is>
          <t>As a Kurultai operator, I want kurultai-agent-health so that the system behaves predictably and safely.</t>
        </is>
      </c>
      <c r="F284" s="10" t="inlineStr">
        <is>
          <t>Monitor Kurultai agent profile health: session activity, error rates, model config, cron status. Cross-profile visibility into all 6 agents.</t>
        </is>
      </c>
      <c r="G284" s="10" t="inlineStr">
        <is>
          <t>config/runtime-config/skills.manifest.json</t>
        </is>
      </c>
      <c r="H284" s="10" t="inlineStr">
        <is>
          <t>test_skill_manifest_has_metadata_for_every_declared_capability; local SKILL.md inventory</t>
        </is>
      </c>
      <c r="I284" s="10" t="inlineStr">
        <is>
          <t>Declared; package unavailable</t>
        </is>
      </c>
      <c r="J284" s="10" t="inlineStr">
        <is>
          <t>Yes</t>
        </is>
      </c>
      <c r="K284" s="10" t="inlineStr">
        <is>
          <t>Declared path kurultai/kurultai-agent-health is not available locally.</t>
        </is>
      </c>
    </row>
    <row r="285" outlineLevel="1" ht="52" customHeight="1">
      <c r="A285" s="10" t="inlineStr">
        <is>
          <t>F-0284</t>
        </is>
      </c>
      <c r="B285" s="10" t="inlineStr">
        <is>
          <t>Skills</t>
        </is>
      </c>
      <c r="C285" s="10" t="inlineStr">
        <is>
          <t>kurultai-operations</t>
        </is>
      </c>
      <c r="D285" s="10" t="inlineStr">
        <is>
          <t>Manifest capability</t>
        </is>
      </c>
      <c r="E285" s="10" t="inlineStr">
        <is>
          <t>As a Kurultai operator, I want kurultai-operations so that the system behaves predictably and safely.</t>
        </is>
      </c>
      <c r="F285" s="10" t="inlineStr">
        <is>
          <t>Router for current Kurultai/Hermes operations: diagnose live queues, Brain, cron, gateways, profiles, AGI harness, proposals, public rebuilds, and operational substrate while keeping decommissioned OpenClaw/Telegram procedures historical.</t>
        </is>
      </c>
      <c r="G285" s="10" t="inlineStr">
        <is>
          <t>config/runtime-config/skills.manifest.json</t>
        </is>
      </c>
      <c r="H285" s="10" t="inlineStr">
        <is>
          <t>test_skill_manifest_has_metadata_for_every_declared_capability; local SKILL.md inventory</t>
        </is>
      </c>
      <c r="I285" s="10" t="inlineStr">
        <is>
          <t>Declared; package unavailable</t>
        </is>
      </c>
      <c r="J285" s="10" t="inlineStr">
        <is>
          <t>Yes</t>
        </is>
      </c>
      <c r="K285" s="10" t="inlineStr">
        <is>
          <t>Declared path kurultai/kurultai-operations is not available locally.</t>
        </is>
      </c>
    </row>
    <row r="286" outlineLevel="1" ht="52" customHeight="1">
      <c r="A286" s="10" t="inlineStr">
        <is>
          <t>F-0285</t>
        </is>
      </c>
      <c r="B286" s="10" t="inlineStr">
        <is>
          <t>Skills</t>
        </is>
      </c>
      <c r="C286" s="10" t="inlineStr">
        <is>
          <t>kurultai-retro-learn</t>
        </is>
      </c>
      <c r="D286" s="10" t="inlineStr">
        <is>
          <t>Manifest capability</t>
        </is>
      </c>
      <c r="E286" s="10" t="inlineStr">
        <is>
          <t>As a Kurultai operator, I want kurultai-retro-learn so that the system behaves predictably and safely.</t>
        </is>
      </c>
      <c r="F286" s="10" t="inlineStr">
        <is>
          <t>Route meaningful Kurultai experience into memory, class-level skills, Brain doctrine, Kanban follow-ups, receipts/regressions/canaries, or explicit no-op rationale without creating dated skill bloat.</t>
        </is>
      </c>
      <c r="G286" s="10" t="inlineStr">
        <is>
          <t>config/runtime-config/skills.manifest.json</t>
        </is>
      </c>
      <c r="H286" s="10" t="inlineStr">
        <is>
          <t>test_skill_manifest_has_metadata_for_every_declared_capability; local SKILL.md inventory</t>
        </is>
      </c>
      <c r="I286" s="10" t="inlineStr">
        <is>
          <t>Declared; package unavailable</t>
        </is>
      </c>
      <c r="J286" s="10" t="inlineStr">
        <is>
          <t>Yes</t>
        </is>
      </c>
      <c r="K286" s="10" t="inlineStr">
        <is>
          <t>Declared path kurultai/kurultai-retro-learn is not available locally.</t>
        </is>
      </c>
    </row>
    <row r="287" outlineLevel="1" ht="52" customHeight="1">
      <c r="A287" s="10" t="inlineStr">
        <is>
          <t>F-0286</t>
        </is>
      </c>
      <c r="B287" s="10" t="inlineStr">
        <is>
          <t>Skills</t>
        </is>
      </c>
      <c r="C287" s="10" t="inlineStr">
        <is>
          <t>money-security-bounty-triage</t>
        </is>
      </c>
      <c r="D287" s="10" t="inlineStr">
        <is>
          <t>Manifest capability</t>
        </is>
      </c>
      <c r="E287" s="10" t="inlineStr">
        <is>
          <t>As a Kurultai operator, I want money-security-bounty-triage so that the system behaves predictably and safely.</t>
        </is>
      </c>
      <c r="F287" s="10" t="inlineStr">
        <is>
          <t>Convert broad money-dashboard security/audit bounty signals into concrete public/local research passes with ledger receipts.</t>
        </is>
      </c>
      <c r="G287" s="10" t="inlineStr">
        <is>
          <t>config/runtime-config/skills.manifest.json</t>
        </is>
      </c>
      <c r="H287" s="10" t="inlineStr">
        <is>
          <t>test_skill_manifest_has_metadata_for_every_declared_capability; local SKILL.md inventory</t>
        </is>
      </c>
      <c r="I287" s="10" t="inlineStr">
        <is>
          <t>Declared; package unavailable</t>
        </is>
      </c>
      <c r="J287" s="10" t="inlineStr">
        <is>
          <t>Yes</t>
        </is>
      </c>
      <c r="K287" s="10" t="inlineStr">
        <is>
          <t>Declared path kurultai/money-security-bounty-triage is not available locally.</t>
        </is>
      </c>
    </row>
    <row r="288" outlineLevel="1" ht="52" customHeight="1">
      <c r="A288" s="10" t="inlineStr">
        <is>
          <t>F-0287</t>
        </is>
      </c>
      <c r="B288" s="10" t="inlineStr">
        <is>
          <t>Skills</t>
        </is>
      </c>
      <c r="C288" s="10" t="inlineStr">
        <is>
          <t>openclaw-operations</t>
        </is>
      </c>
      <c r="D288" s="10" t="inlineStr">
        <is>
          <t>Manifest capability</t>
        </is>
      </c>
      <c r="E288" s="10" t="inlineStr">
        <is>
          <t>As a Kurultai operator, I want openclaw-operations so that the system behaves predictably and safely.</t>
        </is>
      </c>
      <c r="F288" s="10" t="inlineStr">
        <is>
          <t>Configure, upgrade, and debug OpenClaw/Hermes integration surfaces including Telegram channels, Parse screening cleanup, CLI/gateway upgrades, and imported helper workflows.</t>
        </is>
      </c>
      <c r="G288" s="10" t="inlineStr">
        <is>
          <t>config/runtime-config/skills.manifest.json</t>
        </is>
      </c>
      <c r="H288" s="10" t="inlineStr">
        <is>
          <t>test_skill_manifest_has_metadata_for_every_declared_capability; local SKILL.md inventory</t>
        </is>
      </c>
      <c r="I288" s="10" t="inlineStr">
        <is>
          <t>Declared; package unavailable</t>
        </is>
      </c>
      <c r="J288" s="10" t="inlineStr">
        <is>
          <t>Yes</t>
        </is>
      </c>
      <c r="K288" s="10" t="inlineStr">
        <is>
          <t>Declared path kurultai/openclaw-operations is not available locally.</t>
        </is>
      </c>
    </row>
    <row r="289" outlineLevel="1" ht="52" customHeight="1">
      <c r="A289" s="10" t="inlineStr">
        <is>
          <t>F-0288</t>
        </is>
      </c>
      <c r="B289" s="10" t="inlineStr">
        <is>
          <t>Skills</t>
        </is>
      </c>
      <c r="C289" s="10" t="inlineStr">
        <is>
          <t>persona-agent-gateway-creation</t>
        </is>
      </c>
      <c r="D289" s="10" t="inlineStr">
        <is>
          <t>Manifest capability</t>
        </is>
      </c>
      <c r="E289" s="10" t="inlineStr">
        <is>
          <t>As a Kurultai operator, I want persona-agent-gateway-creation so that the system behaves predictably and safely.</t>
        </is>
      </c>
      <c r="F289" s="10" t="inlineStr">
        <is>
          <t>Create high-fidelity Hermes persona agents with dedicated Telegram gateways, OpenAI Codex OAuth routing, Brain wiring, profile-local voice skills, Turing-style identity/voice regressions, receipts, and rollback paths — the Elon-agent pattern generalized.</t>
        </is>
      </c>
      <c r="G289" s="10" t="inlineStr">
        <is>
          <t>config/runtime-config/skills.manifest.json</t>
        </is>
      </c>
      <c r="H289" s="10" t="inlineStr">
        <is>
          <t>test_skill_manifest_has_metadata_for_every_declared_capability; local SKILL.md inventory</t>
        </is>
      </c>
      <c r="I289" s="10" t="inlineStr">
        <is>
          <t>Declared; package unavailable</t>
        </is>
      </c>
      <c r="J289" s="10" t="inlineStr">
        <is>
          <t>Yes</t>
        </is>
      </c>
      <c r="K289" s="10" t="inlineStr">
        <is>
          <t>Declared path kurultai/persona-agent-gateway-creation is not available locally.</t>
        </is>
      </c>
    </row>
    <row r="290" outlineLevel="1" ht="52" customHeight="1">
      <c r="A290" s="10" t="inlineStr">
        <is>
          <t>F-0289</t>
        </is>
      </c>
      <c r="B290" s="10" t="inlineStr">
        <is>
          <t>Skills</t>
        </is>
      </c>
      <c r="C290" s="10" t="inlineStr">
        <is>
          <t>research-return-path</t>
        </is>
      </c>
      <c r="D290" s="10" t="inlineStr">
        <is>
          <t>Manifest capability</t>
        </is>
      </c>
      <c r="E290" s="10" t="inlineStr">
        <is>
          <t>As a Kurultai operator, I want research-return-path so that the system behaves predictably and safely.</t>
        </is>
      </c>
      <c r="F290" s="10" t="inlineStr">
        <is>
          <t>Use when the operator asks for reusable or durable research-return workflows: route substantial article/media/social/source research through Batu Kanban by default, verify/synthesize with Kublai, and turn findings into Brain artifacts, proposal dispositions, skills, tasks, reports, or explicit no-ops. Skip for casual one-off factual answers unless they become reusable research workflow work.</t>
        </is>
      </c>
      <c r="G290" s="10" t="inlineStr">
        <is>
          <t>config/runtime-config/skills.manifest.json</t>
        </is>
      </c>
      <c r="H290" s="10" t="inlineStr">
        <is>
          <t>test_skill_manifest_has_metadata_for_every_declared_capability; local SKILL.md inventory</t>
        </is>
      </c>
      <c r="I290" s="10" t="inlineStr">
        <is>
          <t>Declared; package unavailable</t>
        </is>
      </c>
      <c r="J290" s="10" t="inlineStr">
        <is>
          <t>Yes</t>
        </is>
      </c>
      <c r="K290" s="10" t="inlineStr">
        <is>
          <t>Declared path kurultai/research-return-path is not available locally.</t>
        </is>
      </c>
    </row>
    <row r="291" outlineLevel="1" ht="52" customHeight="1">
      <c r="A291" s="10" t="inlineStr">
        <is>
          <t>F-0290</t>
        </is>
      </c>
      <c r="B291" s="10" t="inlineStr">
        <is>
          <t>Skills</t>
        </is>
      </c>
      <c r="C291" s="10" t="inlineStr">
        <is>
          <t>research-to-brain-compiler</t>
        </is>
      </c>
      <c r="D291" s="10" t="inlineStr">
        <is>
          <t>Manifest capability</t>
        </is>
      </c>
      <c r="E291" s="10" t="inlineStr">
        <is>
          <t>As a Kurultai operator, I want research-to-brain-compiler so that the system behaves predictably and safely.</t>
        </is>
      </c>
      <c r="F291" s="10" t="inlineStr">
        <is>
          <t>Workflow for turning high-signal user-requested research into reusable Brain artifacts rather than leaving it only in chat history.</t>
        </is>
      </c>
      <c r="G291" s="10" t="inlineStr">
        <is>
          <t>config/runtime-config/skills.manifest.json</t>
        </is>
      </c>
      <c r="H291" s="10" t="inlineStr">
        <is>
          <t>test_skill_manifest_has_metadata_for_every_declared_capability; local SKILL.md inventory</t>
        </is>
      </c>
      <c r="I291" s="10" t="inlineStr">
        <is>
          <t>Declared; package unavailable</t>
        </is>
      </c>
      <c r="J291" s="10" t="inlineStr">
        <is>
          <t>Yes</t>
        </is>
      </c>
      <c r="K291" s="10" t="inlineStr">
        <is>
          <t>Declared path kurultai/research-to-brain-compiler is not available locally.</t>
        </is>
      </c>
    </row>
    <row r="292" outlineLevel="1" ht="52" customHeight="1">
      <c r="A292" s="10" t="inlineStr">
        <is>
          <t>F-0291</t>
        </is>
      </c>
      <c r="B292" s="10" t="inlineStr">
        <is>
          <t>Skills</t>
        </is>
      </c>
      <c r="C292" s="10" t="inlineStr">
        <is>
          <t>skill-library-operations</t>
        </is>
      </c>
      <c r="D292" s="10" t="inlineStr">
        <is>
          <t>Manifest capability</t>
        </is>
      </c>
      <c r="E292" s="10" t="inlineStr">
        <is>
          <t>As a Kurultai operator, I want skill-library-operations so that the system behaves predictably and safely.</t>
        </is>
      </c>
      <c r="F292" s="10" t="inlineStr">
        <is>
          <t>Author, install, consolidate, and propagate agent skills across Hermes, Codex, Claude, OpenClaw, and the brain wiki skill-parity layer.</t>
        </is>
      </c>
      <c r="G292" s="10" t="inlineStr">
        <is>
          <t>config/runtime-config/skills.manifest.json</t>
        </is>
      </c>
      <c r="H292" s="10" t="inlineStr">
        <is>
          <t>test_skill_manifest_has_metadata_for_every_declared_capability; local SKILL.md inventory</t>
        </is>
      </c>
      <c r="I292" s="10" t="inlineStr">
        <is>
          <t>Declared; package unavailable</t>
        </is>
      </c>
      <c r="J292" s="10" t="inlineStr">
        <is>
          <t>Yes</t>
        </is>
      </c>
      <c r="K292" s="10" t="inlineStr">
        <is>
          <t>Declared path kurultai/skill-library-operations is not available locally.</t>
        </is>
      </c>
    </row>
    <row r="293" outlineLevel="1" ht="52" customHeight="1">
      <c r="A293" s="10" t="inlineStr">
        <is>
          <t>F-0292</t>
        </is>
      </c>
      <c r="B293" s="10" t="inlineStr">
        <is>
          <t>Skills</t>
        </is>
      </c>
      <c r="C293" s="10" t="inlineStr">
        <is>
          <t>native-mcp</t>
        </is>
      </c>
      <c r="D293" s="10" t="inlineStr">
        <is>
          <t>Manifest capability</t>
        </is>
      </c>
      <c r="E293" s="10" t="inlineStr">
        <is>
          <t>As a Kurultai operator, I want native-mcp so that the system behaves predictably and safely.</t>
        </is>
      </c>
      <c r="F293" s="10" t="inlineStr">
        <is>
          <t>MCP client: connect servers, register tools (stdio/HTTP).</t>
        </is>
      </c>
      <c r="G293" s="10" t="inlineStr">
        <is>
          <t>config/runtime-config/skills.manifest.json</t>
        </is>
      </c>
      <c r="H293" s="10" t="inlineStr">
        <is>
          <t>test_skill_manifest_has_metadata_for_every_declared_capability; local SKILL.md inventory</t>
        </is>
      </c>
      <c r="I293" s="10" t="inlineStr">
        <is>
          <t>Declared; package unavailable</t>
        </is>
      </c>
      <c r="J293" s="10" t="inlineStr">
        <is>
          <t>Yes</t>
        </is>
      </c>
      <c r="K293" s="10" t="inlineStr">
        <is>
          <t>Declared path mcp/native-mcp is not available locally.</t>
        </is>
      </c>
    </row>
    <row r="294" outlineLevel="1" ht="52" customHeight="1">
      <c r="A294" s="10" t="inlineStr">
        <is>
          <t>F-0293</t>
        </is>
      </c>
      <c r="B294" s="10" t="inlineStr">
        <is>
          <t>Skills</t>
        </is>
      </c>
      <c r="C294" s="10" t="inlineStr">
        <is>
          <t>media-generation-and-analysis</t>
        </is>
      </c>
      <c r="D294" s="10" t="inlineStr">
        <is>
          <t>Manifest capability</t>
        </is>
      </c>
      <c r="E294" s="10" t="inlineStr">
        <is>
          <t>As a Kurultai operator, I want media-generation-and-analysis so that the system behaves predictably and safely.</t>
        </is>
      </c>
      <c r="F294" s="10" t="inlineStr">
        <is>
          <t>Generate, transform, and analyze media: ASCII art/video, math animations, GIFs, YouTube transcripts, music prompts/generation, and audio features.</t>
        </is>
      </c>
      <c r="G294" s="10" t="inlineStr">
        <is>
          <t>config/runtime-config/skills.manifest.json</t>
        </is>
      </c>
      <c r="H294" s="10" t="inlineStr">
        <is>
          <t>test_skill_manifest_has_metadata_for_every_declared_capability; local SKILL.md inventory</t>
        </is>
      </c>
      <c r="I294" s="10" t="inlineStr">
        <is>
          <t>Declared; package unavailable</t>
        </is>
      </c>
      <c r="J294" s="10" t="inlineStr">
        <is>
          <t>Yes</t>
        </is>
      </c>
      <c r="K294" s="10" t="inlineStr">
        <is>
          <t>Declared path media/media-generation-and-analysis is not available locally.</t>
        </is>
      </c>
    </row>
    <row r="295" outlineLevel="1" ht="52" customHeight="1">
      <c r="A295" s="10" t="inlineStr">
        <is>
          <t>F-0294</t>
        </is>
      </c>
      <c r="B295" s="10" t="inlineStr">
        <is>
          <t>Skills</t>
        </is>
      </c>
      <c r="C295" s="10" t="inlineStr">
        <is>
          <t>spotify</t>
        </is>
      </c>
      <c r="D295" s="10" t="inlineStr">
        <is>
          <t>Manifest capability</t>
        </is>
      </c>
      <c r="E295" s="10" t="inlineStr">
        <is>
          <t>As a Kurultai operator, I want spotify so that the system behaves predictably and safely.</t>
        </is>
      </c>
      <c r="F295" s="10" t="inlineStr">
        <is>
          <t>Spotify: play, search, queue, manage playlists and devices.</t>
        </is>
      </c>
      <c r="G295" s="10" t="inlineStr">
        <is>
          <t>config/runtime-config/skills.manifest.json</t>
        </is>
      </c>
      <c r="H295" s="10" t="inlineStr">
        <is>
          <t>test_skill_manifest_has_metadata_for_every_declared_capability; local SKILL.md inventory</t>
        </is>
      </c>
      <c r="I295" s="10" t="inlineStr">
        <is>
          <t>Declared; package unavailable</t>
        </is>
      </c>
      <c r="J295" s="10" t="inlineStr">
        <is>
          <t>Yes</t>
        </is>
      </c>
      <c r="K295" s="10" t="inlineStr">
        <is>
          <t>Declared path media/spotify is not available locally.</t>
        </is>
      </c>
    </row>
    <row r="296" outlineLevel="1" ht="52" customHeight="1">
      <c r="A296" s="10" t="inlineStr">
        <is>
          <t>F-0295</t>
        </is>
      </c>
      <c r="B296" s="10" t="inlineStr">
        <is>
          <t>Skills</t>
        </is>
      </c>
      <c r="C296" s="10" t="inlineStr">
        <is>
          <t>outlines</t>
        </is>
      </c>
      <c r="D296" s="10" t="inlineStr">
        <is>
          <t>Manifest capability</t>
        </is>
      </c>
      <c r="E296" s="10" t="inlineStr">
        <is>
          <t>As a Kurultai operator, I want outlines so that the system behaves predictably and safely.</t>
        </is>
      </c>
      <c r="F296" s="10" t="inlineStr">
        <is>
          <t>Outlines: structured JSON/regex/Pydantic LLM generation.</t>
        </is>
      </c>
      <c r="G296" s="10" t="inlineStr">
        <is>
          <t>config/runtime-config/skills.manifest.json</t>
        </is>
      </c>
      <c r="H296" s="10" t="inlineStr">
        <is>
          <t>test_skill_manifest_has_metadata_for_every_declared_capability; local SKILL.md inventory</t>
        </is>
      </c>
      <c r="I296" s="10" t="inlineStr">
        <is>
          <t>Installed / contract verified</t>
        </is>
      </c>
      <c r="J296" s="10" t="inlineStr">
        <is>
          <t>No</t>
        </is>
      </c>
      <c r="K296" s="10" t="inlineStr">
        <is>
          <t>A local skill package with the same declared name is present.</t>
        </is>
      </c>
    </row>
    <row r="297" outlineLevel="1" ht="52" customHeight="1">
      <c r="A297" s="10" t="inlineStr">
        <is>
          <t>F-0296</t>
        </is>
      </c>
      <c r="B297" s="10" t="inlineStr">
        <is>
          <t>Skills</t>
        </is>
      </c>
      <c r="C297" s="10" t="inlineStr">
        <is>
          <t>mlops-model-workflows</t>
        </is>
      </c>
      <c r="D297" s="10" t="inlineStr">
        <is>
          <t>Manifest capability</t>
        </is>
      </c>
      <c r="E297" s="10" t="inlineStr">
        <is>
          <t>As a Kurultai operator, I want mlops-model-workflows so that the system behaves predictably and safely.</t>
        </is>
      </c>
      <c r="F297" s="10" t="inlineStr">
        <is>
          <t>Model operations workflows: Hugging Face Hub, local llama.cpp inference, W&amp;B evaluation/tracking, and model refusal/abliteration experiments.</t>
        </is>
      </c>
      <c r="G297" s="10" t="inlineStr">
        <is>
          <t>config/runtime-config/skills.manifest.json</t>
        </is>
      </c>
      <c r="H297" s="10" t="inlineStr">
        <is>
          <t>test_skill_manifest_has_metadata_for_every_declared_capability; local SKILL.md inventory</t>
        </is>
      </c>
      <c r="I297" s="10" t="inlineStr">
        <is>
          <t>Declared; package unavailable</t>
        </is>
      </c>
      <c r="J297" s="10" t="inlineStr">
        <is>
          <t>Yes</t>
        </is>
      </c>
      <c r="K297" s="10" t="inlineStr">
        <is>
          <t>Declared path mlops/mlops-model-workflows is not available locally.</t>
        </is>
      </c>
    </row>
    <row r="298" outlineLevel="1" ht="52" customHeight="1">
      <c r="A298" s="10" t="inlineStr">
        <is>
          <t>F-0297</t>
        </is>
      </c>
      <c r="B298" s="10" t="inlineStr">
        <is>
          <t>Skills</t>
        </is>
      </c>
      <c r="C298" s="10" t="inlineStr">
        <is>
          <t>dspy</t>
        </is>
      </c>
      <c r="D298" s="10" t="inlineStr">
        <is>
          <t>Manifest capability</t>
        </is>
      </c>
      <c r="E298" s="10" t="inlineStr">
        <is>
          <t>As a Kurultai operator, I want dspy so that the system behaves predictably and safely.</t>
        </is>
      </c>
      <c r="F298" s="10" t="inlineStr">
        <is>
          <t>DSPy: declarative LM programs, auto-optimize prompts, RAG.</t>
        </is>
      </c>
      <c r="G298" s="10" t="inlineStr">
        <is>
          <t>config/runtime-config/skills.manifest.json</t>
        </is>
      </c>
      <c r="H298" s="10" t="inlineStr">
        <is>
          <t>test_skill_manifest_has_metadata_for_every_declared_capability; local SKILL.md inventory</t>
        </is>
      </c>
      <c r="I298" s="10" t="inlineStr">
        <is>
          <t>Installed / contract verified</t>
        </is>
      </c>
      <c r="J298" s="10" t="inlineStr">
        <is>
          <t>No</t>
        </is>
      </c>
      <c r="K298" s="10" t="inlineStr">
        <is>
          <t>A local skill package with the same declared name is present.</t>
        </is>
      </c>
    </row>
    <row r="299" outlineLevel="1" ht="52" customHeight="1">
      <c r="A299" s="10" t="inlineStr">
        <is>
          <t>F-0298</t>
        </is>
      </c>
      <c r="B299" s="10" t="inlineStr">
        <is>
          <t>Skills</t>
        </is>
      </c>
      <c r="C299" s="10" t="inlineStr">
        <is>
          <t>axolotl</t>
        </is>
      </c>
      <c r="D299" s="10" t="inlineStr">
        <is>
          <t>Manifest capability</t>
        </is>
      </c>
      <c r="E299" s="10" t="inlineStr">
        <is>
          <t>As a Kurultai operator, I want axolotl so that the system behaves predictably and safely.</t>
        </is>
      </c>
      <c r="F299" s="10" t="inlineStr">
        <is>
          <t>Axolotl: YAML LLM fine-tuning (LoRA, DPO, GRPO).</t>
        </is>
      </c>
      <c r="G299" s="10" t="inlineStr">
        <is>
          <t>config/runtime-config/skills.manifest.json</t>
        </is>
      </c>
      <c r="H299" s="10" t="inlineStr">
        <is>
          <t>test_skill_manifest_has_metadata_for_every_declared_capability; local SKILL.md inventory</t>
        </is>
      </c>
      <c r="I299" s="10" t="inlineStr">
        <is>
          <t>Installed / contract verified</t>
        </is>
      </c>
      <c r="J299" s="10" t="inlineStr">
        <is>
          <t>No</t>
        </is>
      </c>
      <c r="K299" s="10" t="inlineStr">
        <is>
          <t>A local skill package with the same declared name is present.</t>
        </is>
      </c>
    </row>
    <row r="300" outlineLevel="1" ht="52" customHeight="1">
      <c r="A300" s="10" t="inlineStr">
        <is>
          <t>F-0299</t>
        </is>
      </c>
      <c r="B300" s="10" t="inlineStr">
        <is>
          <t>Skills</t>
        </is>
      </c>
      <c r="C300" s="10" t="inlineStr">
        <is>
          <t>trl-fine-tuning</t>
        </is>
      </c>
      <c r="D300" s="10" t="inlineStr">
        <is>
          <t>Manifest capability</t>
        </is>
      </c>
      <c r="E300" s="10" t="inlineStr">
        <is>
          <t>As a Kurultai operator, I want trl-fine-tuning so that the system behaves predictably and safely.</t>
        </is>
      </c>
      <c r="F300" s="10" t="inlineStr">
        <is>
          <t>TRL: SFT, DPO, PPO, GRPO, reward modeling for LLM RLHF.</t>
        </is>
      </c>
      <c r="G300" s="10" t="inlineStr">
        <is>
          <t>config/runtime-config/skills.manifest.json</t>
        </is>
      </c>
      <c r="H300" s="10" t="inlineStr">
        <is>
          <t>test_skill_manifest_has_metadata_for_every_declared_capability; local SKILL.md inventory</t>
        </is>
      </c>
      <c r="I300" s="10" t="inlineStr">
        <is>
          <t>Installed / contract verified</t>
        </is>
      </c>
      <c r="J300" s="10" t="inlineStr">
        <is>
          <t>No</t>
        </is>
      </c>
      <c r="K300" s="10" t="inlineStr">
        <is>
          <t>A local skill package with the same declared name is present.</t>
        </is>
      </c>
    </row>
    <row r="301" outlineLevel="1" ht="52" customHeight="1">
      <c r="A301" s="10" t="inlineStr">
        <is>
          <t>F-0300</t>
        </is>
      </c>
      <c r="B301" s="10" t="inlineStr">
        <is>
          <t>Skills</t>
        </is>
      </c>
      <c r="C301" s="10" t="inlineStr">
        <is>
          <t>unsloth</t>
        </is>
      </c>
      <c r="D301" s="10" t="inlineStr">
        <is>
          <t>Manifest capability</t>
        </is>
      </c>
      <c r="E301" s="10" t="inlineStr">
        <is>
          <t>As a Kurultai operator, I want unsloth so that the system behaves predictably and safely.</t>
        </is>
      </c>
      <c r="F301" s="10" t="inlineStr">
        <is>
          <t>Unsloth: 2-5x faster LoRA/QLoRA fine-tuning, less VRAM.</t>
        </is>
      </c>
      <c r="G301" s="10" t="inlineStr">
        <is>
          <t>config/runtime-config/skills.manifest.json</t>
        </is>
      </c>
      <c r="H301" s="10" t="inlineStr">
        <is>
          <t>test_skill_manifest_has_metadata_for_every_declared_capability; local SKILL.md inventory</t>
        </is>
      </c>
      <c r="I301" s="10" t="inlineStr">
        <is>
          <t>Installed / contract verified</t>
        </is>
      </c>
      <c r="J301" s="10" t="inlineStr">
        <is>
          <t>No</t>
        </is>
      </c>
      <c r="K301" s="10" t="inlineStr">
        <is>
          <t>A local skill package with the same declared name is present.</t>
        </is>
      </c>
    </row>
    <row r="302" outlineLevel="1" ht="52" customHeight="1">
      <c r="A302" s="10" t="inlineStr">
        <is>
          <t>F-0301</t>
        </is>
      </c>
      <c r="B302" s="10" t="inlineStr">
        <is>
          <t>Skills</t>
        </is>
      </c>
      <c r="C302" s="10" t="inlineStr">
        <is>
          <t>obsidian-claude-learning-vault</t>
        </is>
      </c>
      <c r="D302" s="10" t="inlineStr">
        <is>
          <t>Manifest capability</t>
        </is>
      </c>
      <c r="E302" s="10" t="inlineStr">
        <is>
          <t>As a Kurultai operator, I want obsidian-claude-learning-vault so that the system behaves predictably and safely.</t>
        </is>
      </c>
      <c r="F302" s="10" t="inlineStr">
        <is>
          <t>Build an Obsidian + Claude learning vault that turns study material into concept notes, non-obvious connections, active recall, spaced review, and synthesis documents.</t>
        </is>
      </c>
      <c r="G302" s="10" t="inlineStr">
        <is>
          <t>config/runtime-config/skills.manifest.json</t>
        </is>
      </c>
      <c r="H302" s="10" t="inlineStr">
        <is>
          <t>test_skill_manifest_has_metadata_for_every_declared_capability; local SKILL.md inventory</t>
        </is>
      </c>
      <c r="I302" s="10" t="inlineStr">
        <is>
          <t>Declared; package unavailable</t>
        </is>
      </c>
      <c r="J302" s="10" t="inlineStr">
        <is>
          <t>Yes</t>
        </is>
      </c>
      <c r="K302" s="10" t="inlineStr">
        <is>
          <t>Declared path note-taking/obsidian-claude-learning-vault is not available locally.</t>
        </is>
      </c>
    </row>
    <row r="303" outlineLevel="1" ht="52" customHeight="1">
      <c r="A303" s="10" t="inlineStr">
        <is>
          <t>F-0302</t>
        </is>
      </c>
      <c r="B303" s="10" t="inlineStr">
        <is>
          <t>Skills</t>
        </is>
      </c>
      <c r="C303" s="10" t="inlineStr">
        <is>
          <t>obsidian-workflows</t>
        </is>
      </c>
      <c r="D303" s="10" t="inlineStr">
        <is>
          <t>Manifest capability</t>
        </is>
      </c>
      <c r="E303" s="10" t="inlineStr">
        <is>
          <t>As a Kurultai operator, I want obsidian-workflows so that the system behaves predictably and safely.</t>
        </is>
      </c>
      <c r="F303" s="10" t="inlineStr">
        <is>
          <t>Create and maintain Obsidian vault artifacts: CLI operations, Markdown conventions, Bases views, JSON Canvas maps, and clean imported documents.</t>
        </is>
      </c>
      <c r="G303" s="10" t="inlineStr">
        <is>
          <t>config/runtime-config/skills.manifest.json</t>
        </is>
      </c>
      <c r="H303" s="10" t="inlineStr">
        <is>
          <t>test_skill_manifest_has_metadata_for_every_declared_capability; local SKILL.md inventory</t>
        </is>
      </c>
      <c r="I303" s="10" t="inlineStr">
        <is>
          <t>Declared; package unavailable</t>
        </is>
      </c>
      <c r="J303" s="10" t="inlineStr">
        <is>
          <t>Yes</t>
        </is>
      </c>
      <c r="K303" s="10" t="inlineStr">
        <is>
          <t>Declared path note-taking/obsidian-workflows is not available locally.</t>
        </is>
      </c>
    </row>
    <row r="304" outlineLevel="1" ht="52" customHeight="1">
      <c r="A304" s="10" t="inlineStr">
        <is>
          <t>F-0303</t>
        </is>
      </c>
      <c r="B304" s="10" t="inlineStr">
        <is>
          <t>Skills</t>
        </is>
      </c>
      <c r="C304" s="10" t="inlineStr">
        <is>
          <t>kublai-task-workflows</t>
        </is>
      </c>
      <c r="D304" s="10" t="inlineStr">
        <is>
          <t>Manifest capability</t>
        </is>
      </c>
      <c r="E304" s="10" t="inlineStr">
        <is>
          <t>As a Kurultai operator, I want kublai-task-workflows so that the system behaves predictably and safely.</t>
        </is>
      </c>
      <c r="F304" s="10" t="inlineStr">
        <is>
          <t>Build, route, and report Kublai/Kurultai task packets optimized for agent-aware execution and completion reporting.</t>
        </is>
      </c>
      <c r="G304" s="10" t="inlineStr">
        <is>
          <t>config/runtime-config/skills.manifest.json</t>
        </is>
      </c>
      <c r="H304" s="10" t="inlineStr">
        <is>
          <t>test_skill_manifest_has_metadata_for_every_declared_capability; local SKILL.md inventory</t>
        </is>
      </c>
      <c r="I304" s="10" t="inlineStr">
        <is>
          <t>Declared; package unavailable</t>
        </is>
      </c>
      <c r="J304" s="10" t="inlineStr">
        <is>
          <t>Yes</t>
        </is>
      </c>
      <c r="K304" s="10" t="inlineStr">
        <is>
          <t>Declared path openclaw-imports/kublai-task-workflows is not available locally.</t>
        </is>
      </c>
    </row>
    <row r="305" outlineLevel="1" ht="52" customHeight="1">
      <c r="A305" s="10" t="inlineStr">
        <is>
          <t>F-0304</t>
        </is>
      </c>
      <c r="B305" s="10" t="inlineStr">
        <is>
          <t>Skills</t>
        </is>
      </c>
      <c r="C305" s="10" t="inlineStr">
        <is>
          <t>agent-led-call-planning</t>
        </is>
      </c>
      <c r="D305" s="10" t="inlineStr">
        <is>
          <t>Manifest capability</t>
        </is>
      </c>
      <c r="E305" s="10" t="inlineStr">
        <is>
          <t>As a Kurultai operator, I want agent-led-call-planning so that the system behaves predictably and safely.</t>
        </is>
      </c>
      <c r="F305" s="10" t="inlineStr">
        <is>
          <t>Use when the operator asks Kublai/Hermes to call a human for a purpose. Build an objective-led call plan before dialing, lead the conversation toward that outcome, collect only consented necessary facts, and close with receipts/follow-ups.</t>
        </is>
      </c>
      <c r="G305" s="10" t="inlineStr">
        <is>
          <t>config/runtime-config/skills.manifest.json</t>
        </is>
      </c>
      <c r="H305" s="10" t="inlineStr">
        <is>
          <t>test_skill_manifest_has_metadata_for_every_declared_capability; local SKILL.md inventory</t>
        </is>
      </c>
      <c r="I305" s="10" t="inlineStr">
        <is>
          <t>Declared; package unavailable</t>
        </is>
      </c>
      <c r="J305" s="10" t="inlineStr">
        <is>
          <t>Yes</t>
        </is>
      </c>
      <c r="K305" s="10" t="inlineStr">
        <is>
          <t>Declared path productivity/agent-led-call-planning is not available locally.</t>
        </is>
      </c>
    </row>
    <row r="306" outlineLevel="1" ht="52" customHeight="1">
      <c r="A306" s="10" t="inlineStr">
        <is>
          <t>F-0305</t>
        </is>
      </c>
      <c r="B306" s="10" t="inlineStr">
        <is>
          <t>Skills</t>
        </is>
      </c>
      <c r="C306" s="10" t="inlineStr">
        <is>
          <t>copy-pasteable-code-blocks</t>
        </is>
      </c>
      <c r="D306" s="10" t="inlineStr">
        <is>
          <t>Manifest capability</t>
        </is>
      </c>
      <c r="E306" s="10" t="inlineStr">
        <is>
          <t>As a Kurultai operator, I want copy-pasteable-code-blocks so that the system behaves predictably and safely.</t>
        </is>
      </c>
      <c r="F306" s="10" t="inlineStr">
        <is>
          <t>Use when writing copy-pasteable prompts, commands, patches, Markdown, or chat messages that contain code blocks, especially when the output will be pasted into Telegram, Slack, Discord, another LLM, or a terminal. Prevent broken nested fences, mangled Markdown, and ambiguous handoff formatting.</t>
        </is>
      </c>
      <c r="G306" s="10" t="inlineStr">
        <is>
          <t>config/runtime-config/skills.manifest.json</t>
        </is>
      </c>
      <c r="H306" s="10" t="inlineStr">
        <is>
          <t>test_skill_manifest_has_metadata_for_every_declared_capability; local SKILL.md inventory</t>
        </is>
      </c>
      <c r="I306" s="10" t="inlineStr">
        <is>
          <t>Declared; package unavailable</t>
        </is>
      </c>
      <c r="J306" s="10" t="inlineStr">
        <is>
          <t>Yes</t>
        </is>
      </c>
      <c r="K306" s="10" t="inlineStr">
        <is>
          <t>Declared path productivity/copy-pasteable-code-blocks is not available locally.</t>
        </is>
      </c>
    </row>
    <row r="307" outlineLevel="1" ht="52" customHeight="1">
      <c r="A307" s="10" t="inlineStr">
        <is>
          <t>F-0306</t>
        </is>
      </c>
      <c r="B307" s="10" t="inlineStr">
        <is>
          <t>Skills</t>
        </is>
      </c>
      <c r="C307" s="10" t="inlineStr">
        <is>
          <t>granola-fathom</t>
        </is>
      </c>
      <c r="D307" s="10" t="inlineStr">
        <is>
          <t>Manifest capability</t>
        </is>
      </c>
      <c r="E307" s="10" t="inlineStr">
        <is>
          <t>As a Kurultai operator, I want granola-fathom so that the system behaves predictably and safely.</t>
        </is>
      </c>
      <c r="F307" s="10" t="inlineStr">
        <is>
          <t>Import and process meeting transcripts/notes from Granola and Fathom exports or APIs, then fold into Brain/meeting pipelines.</t>
        </is>
      </c>
      <c r="G307" s="10" t="inlineStr">
        <is>
          <t>config/runtime-config/skills.manifest.json</t>
        </is>
      </c>
      <c r="H307" s="10" t="inlineStr">
        <is>
          <t>test_skill_manifest_has_metadata_for_every_declared_capability; local SKILL.md inventory</t>
        </is>
      </c>
      <c r="I307" s="10" t="inlineStr">
        <is>
          <t>Declared; package unavailable</t>
        </is>
      </c>
      <c r="J307" s="10" t="inlineStr">
        <is>
          <t>Yes</t>
        </is>
      </c>
      <c r="K307" s="10" t="inlineStr">
        <is>
          <t>Declared path productivity/granola-fathom is not available locally.</t>
        </is>
      </c>
    </row>
    <row r="308" outlineLevel="1" ht="52" customHeight="1">
      <c r="A308" s="10" t="inlineStr">
        <is>
          <t>F-0307</t>
        </is>
      </c>
      <c r="B308" s="10" t="inlineStr">
        <is>
          <t>Skills</t>
        </is>
      </c>
      <c r="C308" s="10" t="inlineStr">
        <is>
          <t>linear</t>
        </is>
      </c>
      <c r="D308" s="10" t="inlineStr">
        <is>
          <t>Manifest capability</t>
        </is>
      </c>
      <c r="E308" s="10" t="inlineStr">
        <is>
          <t>As a Kurultai operator, I want linear so that the system behaves predictably and safely.</t>
        </is>
      </c>
      <c r="F308" s="10" t="inlineStr">
        <is>
          <t>Linear: manage issues, projects, teams via GraphQL + curl.</t>
        </is>
      </c>
      <c r="G308" s="10" t="inlineStr">
        <is>
          <t>config/runtime-config/skills.manifest.json</t>
        </is>
      </c>
      <c r="H308" s="10" t="inlineStr">
        <is>
          <t>test_skill_manifest_has_metadata_for_every_declared_capability; local SKILL.md inventory</t>
        </is>
      </c>
      <c r="I308" s="10" t="inlineStr">
        <is>
          <t>Declared; package unavailable</t>
        </is>
      </c>
      <c r="J308" s="10" t="inlineStr">
        <is>
          <t>Yes</t>
        </is>
      </c>
      <c r="K308" s="10" t="inlineStr">
        <is>
          <t>Declared path productivity/linear is not available locally.</t>
        </is>
      </c>
    </row>
    <row r="309" outlineLevel="1" ht="52" customHeight="1">
      <c r="A309" s="10" t="inlineStr">
        <is>
          <t>F-0308</t>
        </is>
      </c>
      <c r="B309" s="10" t="inlineStr">
        <is>
          <t>Skills</t>
        </is>
      </c>
      <c r="C309" s="10" t="inlineStr">
        <is>
          <t>office-and-document-workflows</t>
        </is>
      </c>
      <c r="D309" s="10" t="inlineStr">
        <is>
          <t>Manifest capability</t>
        </is>
      </c>
      <c r="E309" s="10" t="inlineStr">
        <is>
          <t>As a Kurultai operator, I want office-and-document-workflows so that the system behaves predictably and safely.</t>
        </is>
      </c>
      <c r="F309" s="10" t="inlineStr">
        <is>
          <t>Operate productivity platforms and documents: email, Google Workspace, Airtable, Notion, PDF/OCR, PowerPoint, Teams meeting summaries, maps, and expenses.</t>
        </is>
      </c>
      <c r="G309" s="10" t="inlineStr">
        <is>
          <t>config/runtime-config/skills.manifest.json</t>
        </is>
      </c>
      <c r="H309" s="10" t="inlineStr">
        <is>
          <t>test_skill_manifest_has_metadata_for_every_declared_capability; local SKILL.md inventory</t>
        </is>
      </c>
      <c r="I309" s="10" t="inlineStr">
        <is>
          <t>Declared; package unavailable</t>
        </is>
      </c>
      <c r="J309" s="10" t="inlineStr">
        <is>
          <t>Yes</t>
        </is>
      </c>
      <c r="K309" s="10" t="inlineStr">
        <is>
          <t>Declared path productivity/office-and-document-workflows is not available locally.</t>
        </is>
      </c>
    </row>
    <row r="310" outlineLevel="1" ht="52" customHeight="1">
      <c r="A310" s="10" t="inlineStr">
        <is>
          <t>F-0309</t>
        </is>
      </c>
      <c r="B310" s="10" t="inlineStr">
        <is>
          <t>Skills</t>
        </is>
      </c>
      <c r="C310" s="10" t="inlineStr">
        <is>
          <t>premortem</t>
        </is>
      </c>
      <c r="D310" s="10" t="inlineStr">
        <is>
          <t>Manifest capability</t>
        </is>
      </c>
      <c r="E310" s="10" t="inlineStr">
        <is>
          <t>As a Kurultai operator, I want premortem so that the system behaves predictably and safely.</t>
        </is>
      </c>
      <c r="F310" s="10" t="inlineStr">
        <is>
          <t>Use when the user asks to premortem, stress-test, red-team, de-risk, or future-failure-analyze a plan, decision, launch, hire, partnership, project, commitment, or strategy before execution.</t>
        </is>
      </c>
      <c r="G310" s="10" t="inlineStr">
        <is>
          <t>config/runtime-config/skills.manifest.json</t>
        </is>
      </c>
      <c r="H310" s="10" t="inlineStr">
        <is>
          <t>test_skill_manifest_has_metadata_for_every_declared_capability; local SKILL.md inventory</t>
        </is>
      </c>
      <c r="I310" s="10" t="inlineStr">
        <is>
          <t>Declared; package unavailable</t>
        </is>
      </c>
      <c r="J310" s="10" t="inlineStr">
        <is>
          <t>Yes</t>
        </is>
      </c>
      <c r="K310" s="10" t="inlineStr">
        <is>
          <t>Declared path productivity/premortem is not available locally.</t>
        </is>
      </c>
    </row>
    <row r="311" outlineLevel="1" ht="52" customHeight="1">
      <c r="A311" s="10" t="inlineStr">
        <is>
          <t>F-0310</t>
        </is>
      </c>
      <c r="B311" s="10" t="inlineStr">
        <is>
          <t>Skills</t>
        </is>
      </c>
      <c r="C311" s="10" t="inlineStr">
        <is>
          <t>raleigh-sauna-house-booking</t>
        </is>
      </c>
      <c r="D311" s="10" t="inlineStr">
        <is>
          <t>Manifest capability</t>
        </is>
      </c>
      <c r="E311" s="10" t="inlineStr">
        <is>
          <t>As a Kurultai operator, I want raleigh-sauna-house-booking so that the system behaves predictably and safely.</t>
        </is>
      </c>
      <c r="F311" s="10" t="inlineStr">
        <is>
          <t>Use when the operator asks to book a Raleigh Sauna House appointment for a given date/time; navigate Boulevard booking, optionally use SMS login code, and stop before final appointment submission for approval.</t>
        </is>
      </c>
      <c r="G311" s="10" t="inlineStr">
        <is>
          <t>config/runtime-config/skills.manifest.json</t>
        </is>
      </c>
      <c r="H311" s="10" t="inlineStr">
        <is>
          <t>test_skill_manifest_has_metadata_for_every_declared_capability; local SKILL.md inventory</t>
        </is>
      </c>
      <c r="I311" s="10" t="inlineStr">
        <is>
          <t>Declared; package unavailable</t>
        </is>
      </c>
      <c r="J311" s="10" t="inlineStr">
        <is>
          <t>Yes</t>
        </is>
      </c>
      <c r="K311" s="10" t="inlineStr">
        <is>
          <t>Declared path productivity/raleigh-sauna-house-booking is not available locally.</t>
        </is>
      </c>
    </row>
    <row r="312" outlineLevel="1" ht="52" customHeight="1">
      <c r="A312" s="10" t="inlineStr">
        <is>
          <t>F-0311</t>
        </is>
      </c>
      <c r="B312" s="10" t="inlineStr">
        <is>
          <t>Skills</t>
        </is>
      </c>
      <c r="C312" s="10" t="inlineStr">
        <is>
          <t>readwise</t>
        </is>
      </c>
      <c r="D312" s="10" t="inlineStr">
        <is>
          <t>Manifest capability</t>
        </is>
      </c>
      <c r="E312" s="10" t="inlineStr">
        <is>
          <t>As a Kurultai operator, I want readwise so that the system behaves predictably and safely.</t>
        </is>
      </c>
      <c r="F312" s="10" t="inlineStr">
        <is>
          <t>Readwise Reader/highlights API workflows for search, export, and retrieval with safe token handling.</t>
        </is>
      </c>
      <c r="G312" s="10" t="inlineStr">
        <is>
          <t>config/runtime-config/skills.manifest.json</t>
        </is>
      </c>
      <c r="H312" s="10" t="inlineStr">
        <is>
          <t>test_skill_manifest_has_metadata_for_every_declared_capability; local SKILL.md inventory</t>
        </is>
      </c>
      <c r="I312" s="10" t="inlineStr">
        <is>
          <t>Declared; package unavailable</t>
        </is>
      </c>
      <c r="J312" s="10" t="inlineStr">
        <is>
          <t>Yes</t>
        </is>
      </c>
      <c r="K312" s="10" t="inlineStr">
        <is>
          <t>Declared path productivity/readwise is not available locally.</t>
        </is>
      </c>
    </row>
    <row r="313" outlineLevel="1" ht="52" customHeight="1">
      <c r="A313" s="10" t="inlineStr">
        <is>
          <t>F-0312</t>
        </is>
      </c>
      <c r="B313" s="10" t="inlineStr">
        <is>
          <t>Skills</t>
        </is>
      </c>
      <c r="C313" s="10" t="inlineStr">
        <is>
          <t>apify</t>
        </is>
      </c>
      <c r="D313" s="10" t="inlineStr">
        <is>
          <t>Manifest capability</t>
        </is>
      </c>
      <c r="E313" s="10" t="inlineStr">
        <is>
          <t>As a Kurultai operator, I want apify so that the system behaves predictably and safely.</t>
        </is>
      </c>
      <c r="F313" s="10" t="inlineStr">
        <is>
          <t>Apify actor/dataset workflows for scraping and market research with cost and side-effect dry-run gates.</t>
        </is>
      </c>
      <c r="G313" s="10" t="inlineStr">
        <is>
          <t>config/runtime-config/skills.manifest.json</t>
        </is>
      </c>
      <c r="H313" s="10" t="inlineStr">
        <is>
          <t>test_skill_manifest_has_metadata_for_every_declared_capability; local SKILL.md inventory</t>
        </is>
      </c>
      <c r="I313" s="10" t="inlineStr">
        <is>
          <t>Declared; package unavailable</t>
        </is>
      </c>
      <c r="J313" s="10" t="inlineStr">
        <is>
          <t>Yes</t>
        </is>
      </c>
      <c r="K313" s="10" t="inlineStr">
        <is>
          <t>Declared path research/apify is not available locally.</t>
        </is>
      </c>
    </row>
    <row r="314" outlineLevel="1" ht="52" customHeight="1">
      <c r="A314" s="10" t="inlineStr">
        <is>
          <t>F-0313</t>
        </is>
      </c>
      <c r="B314" s="10" t="inlineStr">
        <is>
          <t>Skills</t>
        </is>
      </c>
      <c r="C314" s="10" t="inlineStr">
        <is>
          <t>polymarket-weather-paper-engine</t>
        </is>
      </c>
      <c r="D314" s="10" t="inlineStr">
        <is>
          <t>Manifest capability</t>
        </is>
      </c>
      <c r="E314" s="10" t="inlineStr">
        <is>
          <t>As a Kurultai operator, I want polymarket-weather-paper-engine so that the system behaves predictably and safely.</t>
        </is>
      </c>
      <c r="F314" s="10" t="inlineStr">
        <is>
          <t>Operate and evaluate the operator's paper-only Polymarket daily temperature research engine, including simulated portfolio, training export, and goal tuning.</t>
        </is>
      </c>
      <c r="G314" s="10" t="inlineStr">
        <is>
          <t>config/runtime-config/skills.manifest.json</t>
        </is>
      </c>
      <c r="H314" s="10" t="inlineStr">
        <is>
          <t>test_skill_manifest_has_metadata_for_every_declared_capability; local SKILL.md inventory</t>
        </is>
      </c>
      <c r="I314" s="10" t="inlineStr">
        <is>
          <t>Declared; package unavailable</t>
        </is>
      </c>
      <c r="J314" s="10" t="inlineStr">
        <is>
          <t>Yes</t>
        </is>
      </c>
      <c r="K314" s="10" t="inlineStr">
        <is>
          <t>Declared path research/polymarket-weather-paper-engine is not available locally.</t>
        </is>
      </c>
    </row>
    <row r="315" outlineLevel="1" ht="52" customHeight="1">
      <c r="A315" s="10" t="inlineStr">
        <is>
          <t>F-0314</t>
        </is>
      </c>
      <c r="B315" s="10" t="inlineStr">
        <is>
          <t>Skills</t>
        </is>
      </c>
      <c r="C315" s="10" t="inlineStr">
        <is>
          <t>research-intelligence-workflows</t>
        </is>
      </c>
      <c r="D315" s="10" t="inlineStr">
        <is>
          <t>Manifest capability</t>
        </is>
      </c>
      <c r="E315" s="10" t="inlineStr">
        <is>
          <t>As a Kurultai operator, I want research-intelligence-workflows so that the system behaves predictably and safely.</t>
        </is>
      </c>
      <c r="F315" s="10" t="inlineStr">
        <is>
          <t>Research discovery and synthesis: arXiv, feeds/blogs, LLM wiki knowledge bases, research-paper writing, market/event research, and prediction-market data.</t>
        </is>
      </c>
      <c r="G315" s="10" t="inlineStr">
        <is>
          <t>config/runtime-config/skills.manifest.json</t>
        </is>
      </c>
      <c r="H315" s="10" t="inlineStr">
        <is>
          <t>test_skill_manifest_has_metadata_for_every_declared_capability; local SKILL.md inventory</t>
        </is>
      </c>
      <c r="I315" s="10" t="inlineStr">
        <is>
          <t>Declared; package unavailable</t>
        </is>
      </c>
      <c r="J315" s="10" t="inlineStr">
        <is>
          <t>Yes</t>
        </is>
      </c>
      <c r="K315" s="10" t="inlineStr">
        <is>
          <t>Declared path research/research-intelligence-workflows is not available locally.</t>
        </is>
      </c>
    </row>
    <row r="316" outlineLevel="1" ht="52" customHeight="1">
      <c r="A316" s="10" t="inlineStr">
        <is>
          <t>F-0315</t>
        </is>
      </c>
      <c r="B316" s="10" t="inlineStr">
        <is>
          <t>Skills</t>
        </is>
      </c>
      <c r="C316" s="10" t="inlineStr">
        <is>
          <t>device-and-home-api-operations</t>
        </is>
      </c>
      <c r="D316" s="10" t="inlineStr">
        <is>
          <t>Manifest capability</t>
        </is>
      </c>
      <c r="E316" s="10" t="inlineStr">
        <is>
          <t>As a Kurultai operator, I want device-and-home-api-operations so that the system behaves predictably and safely.</t>
        </is>
      </c>
      <c r="F316" s="10" t="inlineStr">
        <is>
          <t>Operate personal device and smart-home APIs safely: Hue/OpenHue lights and read-only Tesla Fleet vehicle data.</t>
        </is>
      </c>
      <c r="G316" s="10" t="inlineStr">
        <is>
          <t>config/runtime-config/skills.manifest.json</t>
        </is>
      </c>
      <c r="H316" s="10" t="inlineStr">
        <is>
          <t>test_skill_manifest_has_metadata_for_every_declared_capability; local SKILL.md inventory</t>
        </is>
      </c>
      <c r="I316" s="10" t="inlineStr">
        <is>
          <t>Declared; package unavailable</t>
        </is>
      </c>
      <c r="J316" s="10" t="inlineStr">
        <is>
          <t>Yes</t>
        </is>
      </c>
      <c r="K316" s="10" t="inlineStr">
        <is>
          <t>Declared path smart-home/device-and-home-api-operations is not available locally.</t>
        </is>
      </c>
    </row>
    <row r="317" outlineLevel="1" ht="52" customHeight="1">
      <c r="A317" s="10" t="inlineStr">
        <is>
          <t>F-0316</t>
        </is>
      </c>
      <c r="B317" s="10" t="inlineStr">
        <is>
          <t>Skills</t>
        </is>
      </c>
      <c r="C317" s="10" t="inlineStr">
        <is>
          <t>communication-platform-workflows</t>
        </is>
      </c>
      <c r="D317" s="10" t="inlineStr">
        <is>
          <t>Manifest capability</t>
        </is>
      </c>
      <c r="E317" s="10" t="inlineStr">
        <is>
          <t>As a Kurultai operator, I want communication-platform-workflows so that the system behaves predictably and safely.</t>
        </is>
      </c>
      <c r="F317" s="10" t="inlineStr">
        <is>
          <t>Operate external communication platforms: X/Twitter via xurl, Yuanbao groups, and telephony/SMS/voice-agent integrations.</t>
        </is>
      </c>
      <c r="G317" s="10" t="inlineStr">
        <is>
          <t>config/runtime-config/skills.manifest.json</t>
        </is>
      </c>
      <c r="H317" s="10" t="inlineStr">
        <is>
          <t>test_skill_manifest_has_metadata_for_every_declared_capability; local SKILL.md inventory</t>
        </is>
      </c>
      <c r="I317" s="10" t="inlineStr">
        <is>
          <t>Declared; package unavailable</t>
        </is>
      </c>
      <c r="J317" s="10" t="inlineStr">
        <is>
          <t>Yes</t>
        </is>
      </c>
      <c r="K317" s="10" t="inlineStr">
        <is>
          <t>Declared path social-media/communication-platform-workflows is not available locally.</t>
        </is>
      </c>
    </row>
    <row r="318" outlineLevel="1" ht="52" customHeight="1">
      <c r="A318" s="10" t="inlineStr">
        <is>
          <t>F-0317</t>
        </is>
      </c>
      <c r="B318" s="10" t="inlineStr">
        <is>
          <t>Skills</t>
        </is>
      </c>
      <c r="C318" s="10" t="inlineStr">
        <is>
          <t>reddit</t>
        </is>
      </c>
      <c r="D318" s="10" t="inlineStr">
        <is>
          <t>Manifest capability</t>
        </is>
      </c>
      <c r="E318" s="10" t="inlineStr">
        <is>
          <t>As a Kurultai operator, I want reddit so that the system behaves predictably and safely.</t>
        </is>
      </c>
      <c r="F318" s="10" t="inlineStr">
        <is>
          <t>Reddit public/OAuth research and account workflows via JSON/RSS/API; safe read-first market research.</t>
        </is>
      </c>
      <c r="G318" s="10" t="inlineStr">
        <is>
          <t>config/runtime-config/skills.manifest.json</t>
        </is>
      </c>
      <c r="H318" s="10" t="inlineStr">
        <is>
          <t>test_skill_manifest_has_metadata_for_every_declared_capability; local SKILL.md inventory</t>
        </is>
      </c>
      <c r="I318" s="10" t="inlineStr">
        <is>
          <t>Declared; package unavailable</t>
        </is>
      </c>
      <c r="J318" s="10" t="inlineStr">
        <is>
          <t>Yes</t>
        </is>
      </c>
      <c r="K318" s="10" t="inlineStr">
        <is>
          <t>Declared path social-media/reddit is not available locally.</t>
        </is>
      </c>
    </row>
    <row r="319" outlineLevel="1" ht="52" customHeight="1">
      <c r="A319" s="10" t="inlineStr">
        <is>
          <t>F-0318</t>
        </is>
      </c>
      <c r="B319" s="10" t="inlineStr">
        <is>
          <t>Skills</t>
        </is>
      </c>
      <c r="C319" s="10" t="inlineStr">
        <is>
          <t>x-content-optimization</t>
        </is>
      </c>
      <c r="D319" s="10" t="inlineStr">
        <is>
          <t>Manifest capability</t>
        </is>
      </c>
      <c r="E319" s="10" t="inlineStr">
        <is>
          <t>As a Kurultai operator, I want x-content-optimization so that the system behaves predictably and safely.</t>
        </is>
      </c>
      <c r="F319" s="10" t="inlineStr">
        <is>
          <t>Optimize X/Twitter content placement in the For You feed based on the open-sourced x-algorithm</t>
        </is>
      </c>
      <c r="G319" s="10" t="inlineStr">
        <is>
          <t>config/runtime-config/skills.manifest.json</t>
        </is>
      </c>
      <c r="H319" s="10" t="inlineStr">
        <is>
          <t>test_skill_manifest_has_metadata_for_every_declared_capability; local SKILL.md inventory</t>
        </is>
      </c>
      <c r="I319" s="10" t="inlineStr">
        <is>
          <t>Declared; package unavailable</t>
        </is>
      </c>
      <c r="J319" s="10" t="inlineStr">
        <is>
          <t>Yes</t>
        </is>
      </c>
      <c r="K319" s="10" t="inlineStr">
        <is>
          <t>Declared path social-media/x-content-optimization is not available locally.</t>
        </is>
      </c>
    </row>
    <row r="320" outlineLevel="1" ht="52" customHeight="1">
      <c r="A320" s="10" t="inlineStr">
        <is>
          <t>F-0319</t>
        </is>
      </c>
      <c r="B320" s="10" t="inlineStr">
        <is>
          <t>Skills</t>
        </is>
      </c>
      <c r="C320" s="10" t="inlineStr">
        <is>
          <t>browse-cli</t>
        </is>
      </c>
      <c r="D320" s="10" t="inlineStr">
        <is>
          <t>Manifest capability</t>
        </is>
      </c>
      <c r="E320" s="10" t="inlineStr">
        <is>
          <t>As a Kurultai operator, I want browse-cli so that the system behaves predictably and safely.</t>
        </is>
      </c>
      <c r="F320" s="10" t="inlineStr">
        <is>
          <t>Use when an agent needs opt-in Browse CLI guidance for local, non-sensitive browser automation reconnaissance after Hermes built-in browser tools are insufficient.</t>
        </is>
      </c>
      <c r="G320" s="10" t="inlineStr">
        <is>
          <t>config/runtime-config/skills.manifest.json</t>
        </is>
      </c>
      <c r="H320" s="10" t="inlineStr">
        <is>
          <t>test_skill_manifest_has_metadata_for_every_declared_capability; local SKILL.md inventory</t>
        </is>
      </c>
      <c r="I320" s="10" t="inlineStr">
        <is>
          <t>Declared; package unavailable</t>
        </is>
      </c>
      <c r="J320" s="10" t="inlineStr">
        <is>
          <t>Yes</t>
        </is>
      </c>
      <c r="K320" s="10" t="inlineStr">
        <is>
          <t>Declared path software-development/browse-cli is not available locally.</t>
        </is>
      </c>
    </row>
    <row r="321" outlineLevel="1" ht="52" customHeight="1">
      <c r="A321" s="10" t="inlineStr">
        <is>
          <t>F-0320</t>
        </is>
      </c>
      <c r="B321" s="10" t="inlineStr">
        <is>
          <t>Skills</t>
        </is>
      </c>
      <c r="C321" s="10" t="inlineStr">
        <is>
          <t>browser-harness</t>
        </is>
      </c>
      <c r="D321" s="10" t="inlineStr">
        <is>
          <t>Manifest capability</t>
        </is>
      </c>
      <c r="E321" s="10" t="inlineStr">
        <is>
          <t>As a Kurultai operator, I want browser-harness so that the system behaves predictably and safely.</t>
        </is>
      </c>
      <c r="F321" s="10" t="inlineStr">
        <is>
          <t>Direct browser control via CDP connected to the user's real Chrome. Use when the user wants to automate, scrape, test, or interact with web pages. Installed at ~/Developer/browser-harness.</t>
        </is>
      </c>
      <c r="G321" s="10" t="inlineStr">
        <is>
          <t>config/runtime-config/skills.manifest.json</t>
        </is>
      </c>
      <c r="H321" s="10" t="inlineStr">
        <is>
          <t>test_skill_manifest_has_metadata_for_every_declared_capability; local SKILL.md inventory</t>
        </is>
      </c>
      <c r="I321" s="10" t="inlineStr">
        <is>
          <t>Declared; package unavailable</t>
        </is>
      </c>
      <c r="J321" s="10" t="inlineStr">
        <is>
          <t>Yes</t>
        </is>
      </c>
      <c r="K321" s="10" t="inlineStr">
        <is>
          <t>Declared path software-development/browser-harness is not available locally.</t>
        </is>
      </c>
    </row>
    <row r="322" outlineLevel="1" ht="52" customHeight="1">
      <c r="A322" s="10" t="inlineStr">
        <is>
          <t>F-0321</t>
        </is>
      </c>
      <c r="B322" s="10" t="inlineStr">
        <is>
          <t>Skills</t>
        </is>
      </c>
      <c r="C322" s="10" t="inlineStr">
        <is>
          <t>codex-implementation-orchestration</t>
        </is>
      </c>
      <c r="D322" s="10" t="inlineStr">
        <is>
          <t>Manifest capability</t>
        </is>
      </c>
      <c r="E322" s="10" t="inlineStr">
        <is>
          <t>As a Kurultai operator, I want codex-implementation-orchestration so that the system behaves predictably and safely.</t>
        </is>
      </c>
      <c r="F322" s="10" t="inlineStr">
        <is>
          <t>Use Codex as a bulk coding worker while Hermes acts as reviewer, verifier, and safety gate for multi-phase implementation work. In Kanban contexts, assign the task to a real accountable Kurultai profile (for example Chagatai) and have that profile use this skill; do not assign the task directly to a pseudo-profile named `codex`. See references/kanban-ownership.md.</t>
        </is>
      </c>
      <c r="G322" s="10" t="inlineStr">
        <is>
          <t>config/runtime-config/skills.manifest.json</t>
        </is>
      </c>
      <c r="H322" s="10" t="inlineStr">
        <is>
          <t>test_skill_manifest_has_metadata_for_every_declared_capability; local SKILL.md inventory</t>
        </is>
      </c>
      <c r="I322" s="10" t="inlineStr">
        <is>
          <t>Declared; package unavailable</t>
        </is>
      </c>
      <c r="J322" s="10" t="inlineStr">
        <is>
          <t>Yes</t>
        </is>
      </c>
      <c r="K322" s="10" t="inlineStr">
        <is>
          <t>Declared path software-development/codex-implementation-orchestration is not available locally.</t>
        </is>
      </c>
    </row>
    <row r="323" outlineLevel="1" ht="52" customHeight="1">
      <c r="A323" s="10" t="inlineStr">
        <is>
          <t>F-0322</t>
        </is>
      </c>
      <c r="B323" s="10" t="inlineStr">
        <is>
          <t>Skills</t>
        </is>
      </c>
      <c r="C323" s="10" t="inlineStr">
        <is>
          <t>debugging-hermes-tui-commands</t>
        </is>
      </c>
      <c r="D323" s="10" t="inlineStr">
        <is>
          <t>Manifest capability</t>
        </is>
      </c>
      <c r="E323" s="10" t="inlineStr">
        <is>
          <t>As a Kurultai operator, I want debugging-hermes-tui-commands so that the system behaves predictably and safely.</t>
        </is>
      </c>
      <c r="F323" s="10" t="inlineStr">
        <is>
          <t>Debug Hermes slash commands across Python registry, gateway/Telegram, TUI, and Ink UI.</t>
        </is>
      </c>
      <c r="G323" s="10" t="inlineStr">
        <is>
          <t>config/runtime-config/skills.manifest.json</t>
        </is>
      </c>
      <c r="H323" s="10" t="inlineStr">
        <is>
          <t>test_skill_manifest_has_metadata_for_every_declared_capability; local SKILL.md inventory</t>
        </is>
      </c>
      <c r="I323" s="10" t="inlineStr">
        <is>
          <t>Declared; package unavailable</t>
        </is>
      </c>
      <c r="J323" s="10" t="inlineStr">
        <is>
          <t>Yes</t>
        </is>
      </c>
      <c r="K323" s="10" t="inlineStr">
        <is>
          <t>Declared path software-development/debugging-hermes-tui-commands is not available locally.</t>
        </is>
      </c>
    </row>
    <row r="324" outlineLevel="1" ht="52" customHeight="1">
      <c r="A324" s="10" t="inlineStr">
        <is>
          <t>F-0323</t>
        </is>
      </c>
      <c r="B324" s="10" t="inlineStr">
        <is>
          <t>Skills</t>
        </is>
      </c>
      <c r="C324" s="10" t="inlineStr">
        <is>
          <t>hermes-s6-container-supervision</t>
        </is>
      </c>
      <c r="D324" s="10" t="inlineStr">
        <is>
          <t>Manifest capability</t>
        </is>
      </c>
      <c r="E324" s="10" t="inlineStr">
        <is>
          <t>As a Kurultai operator, I want hermes-s6-container-supervision so that the system behaves predictably and safely.</t>
        </is>
      </c>
      <c r="F324" s="10" t="inlineStr">
        <is>
          <t>Modify, debug, or extend the s6-overlay supervision tree inside the Hermes Agent Docker image — adding new services, debugging profile gateways, understanding the Architecture B main-program pattern.</t>
        </is>
      </c>
      <c r="G324" s="10" t="inlineStr">
        <is>
          <t>config/runtime-config/skills.manifest.json</t>
        </is>
      </c>
      <c r="H324" s="10" t="inlineStr">
        <is>
          <t>test_skill_manifest_has_metadata_for_every_declared_capability; local SKILL.md inventory</t>
        </is>
      </c>
      <c r="I324" s="10" t="inlineStr">
        <is>
          <t>Installed / contract verified</t>
        </is>
      </c>
      <c r="J324" s="10" t="inlineStr">
        <is>
          <t>No</t>
        </is>
      </c>
      <c r="K324" s="10" t="inlineStr">
        <is>
          <t>A local skill package with the same declared name is present.</t>
        </is>
      </c>
    </row>
    <row r="325" outlineLevel="1" ht="52" customHeight="1">
      <c r="A325" s="10" t="inlineStr">
        <is>
          <t>F-0324</t>
        </is>
      </c>
      <c r="B325" s="10" t="inlineStr">
        <is>
          <t>Skills</t>
        </is>
      </c>
      <c r="C325" s="10" t="inlineStr">
        <is>
          <t>parse-screening-recovery</t>
        </is>
      </c>
      <c r="D325" s="10" t="inlineStr">
        <is>
          <t>Manifest capability</t>
        </is>
      </c>
      <c r="E325" s="10" t="inlineStr">
        <is>
          <t>As a Kurultai operator, I want parse-screening-recovery so that the system behaves predictably and safely.</t>
        </is>
      </c>
      <c r="F325" s="10" t="inlineStr">
        <is>
          <t>Metadata receipt pattern for Hermes screened tool events.</t>
        </is>
      </c>
      <c r="G325" s="10" t="inlineStr">
        <is>
          <t>config/runtime-config/skills.manifest.json</t>
        </is>
      </c>
      <c r="H325" s="10" t="inlineStr">
        <is>
          <t>test_skill_manifest_has_metadata_for_every_declared_capability; local SKILL.md inventory</t>
        </is>
      </c>
      <c r="I325" s="10" t="inlineStr">
        <is>
          <t>Declared; package unavailable</t>
        </is>
      </c>
      <c r="J325" s="10" t="inlineStr">
        <is>
          <t>Yes</t>
        </is>
      </c>
      <c r="K325" s="10" t="inlineStr">
        <is>
          <t>Declared path software-development/parse-screening-recovery is not available locally.</t>
        </is>
      </c>
    </row>
    <row r="326" outlineLevel="1" ht="52" customHeight="1">
      <c r="A326" s="10" t="inlineStr">
        <is>
          <t>F-0325</t>
        </is>
      </c>
      <c r="B326" s="10" t="inlineStr">
        <is>
          <t>Skills</t>
        </is>
      </c>
      <c r="C326" s="10" t="inlineStr">
        <is>
          <t>recursive-mode</t>
        </is>
      </c>
      <c r="D326" s="10" t="inlineStr">
        <is>
          <t>Manifest capability</t>
        </is>
      </c>
      <c r="E326" s="10" t="inlineStr">
        <is>
          <t>As a Kurultai operator, I want recursive-mode so that the system behaves predictably and safely.</t>
        </is>
      </c>
      <c r="F326" s="10" t="inlineStr">
        <is>
          <t>'Repository workflow orchestration skill for staged implementation, locked artifacts, late-phase receipts, and durable memory maintenance. Use when executing recursive-mode runs, resuming a run, locking a phase, or verifying locks.'</t>
        </is>
      </c>
      <c r="G326" s="10" t="inlineStr">
        <is>
          <t>config/runtime-config/skills.manifest.json</t>
        </is>
      </c>
      <c r="H326" s="10" t="inlineStr">
        <is>
          <t>test_skill_manifest_has_metadata_for_every_declared_capability; local SKILL.md inventory</t>
        </is>
      </c>
      <c r="I326" s="10" t="inlineStr">
        <is>
          <t>Declared; package unavailable</t>
        </is>
      </c>
      <c r="J326" s="10" t="inlineStr">
        <is>
          <t>Yes</t>
        </is>
      </c>
      <c r="K326" s="10" t="inlineStr">
        <is>
          <t>Declared path software-development/recursive-mode is not available locally.</t>
        </is>
      </c>
    </row>
    <row r="327" outlineLevel="1" ht="52" customHeight="1">
      <c r="A327" s="10" t="inlineStr">
        <is>
          <t>F-0326</t>
        </is>
      </c>
      <c r="B327" s="10" t="inlineStr">
        <is>
          <t>Skills</t>
        </is>
      </c>
      <c r="C327" s="10" t="inlineStr">
        <is>
          <t>shell-command-hygiene</t>
        </is>
      </c>
      <c r="D327" s="10" t="inlineStr">
        <is>
          <t>Manifest capability</t>
        </is>
      </c>
      <c r="E327" s="10" t="inlineStr">
        <is>
          <t>As a Kurultai operator, I want shell-command-hygiene so that the system behaves predictably and safely.</t>
        </is>
      </c>
      <c r="F327" s="10" t="inlineStr">
        <is>
          <t>Write shell commands that don't trip Hermes's own security scanner. Avoid pipe-to-interpreter patterns and inline `-c` script execution when a direct-file read works.</t>
        </is>
      </c>
      <c r="G327" s="10" t="inlineStr">
        <is>
          <t>config/runtime-config/skills.manifest.json</t>
        </is>
      </c>
      <c r="H327" s="10" t="inlineStr">
        <is>
          <t>test_skill_manifest_has_metadata_for_every_declared_capability; local SKILL.md inventory</t>
        </is>
      </c>
      <c r="I327" s="10" t="inlineStr">
        <is>
          <t>Declared; package unavailable</t>
        </is>
      </c>
      <c r="J327" s="10" t="inlineStr">
        <is>
          <t>Yes</t>
        </is>
      </c>
      <c r="K327" s="10" t="inlineStr">
        <is>
          <t>Declared path software-development/shell-command-hygiene is not available locally.</t>
        </is>
      </c>
    </row>
    <row r="328" outlineLevel="1" ht="52" customHeight="1">
      <c r="A328" s="10" t="inlineStr">
        <is>
          <t>F-0327</t>
        </is>
      </c>
      <c r="B328" s="10" t="inlineStr">
        <is>
          <t>Skills</t>
        </is>
      </c>
      <c r="C328" s="10" t="inlineStr">
        <is>
          <t>simplify-code</t>
        </is>
      </c>
      <c r="D328" s="10" t="inlineStr">
        <is>
          <t>Manifest capability</t>
        </is>
      </c>
      <c r="E328" s="10" t="inlineStr">
        <is>
          <t>As a Kurultai operator, I want simplify-code so that the system behaves predictably and safely.</t>
        </is>
      </c>
      <c r="F328" s="10" t="inlineStr">
        <is>
          <t>Parallel 3-agent cleanup of recent code changes.</t>
        </is>
      </c>
      <c r="G328" s="10" t="inlineStr">
        <is>
          <t>config/runtime-config/skills.manifest.json</t>
        </is>
      </c>
      <c r="H328" s="10" t="inlineStr">
        <is>
          <t>test_skill_manifest_has_metadata_for_every_declared_capability; local SKILL.md inventory</t>
        </is>
      </c>
      <c r="I328" s="10" t="inlineStr">
        <is>
          <t>Installed / contract verified</t>
        </is>
      </c>
      <c r="J328" s="10" t="inlineStr">
        <is>
          <t>No</t>
        </is>
      </c>
      <c r="K328" s="10" t="inlineStr">
        <is>
          <t>A local skill package with the same declared name is present.</t>
        </is>
      </c>
    </row>
    <row r="329" outlineLevel="1" ht="52" customHeight="1">
      <c r="A329" s="10" t="inlineStr">
        <is>
          <t>F-0328</t>
        </is>
      </c>
      <c r="B329" s="10" t="inlineStr">
        <is>
          <t>Skills</t>
        </is>
      </c>
      <c r="C329" s="10" t="inlineStr">
        <is>
          <t>software-delivery-workflows</t>
        </is>
      </c>
      <c r="D329" s="10" t="inlineStr">
        <is>
          <t>Manifest capability</t>
        </is>
      </c>
      <c r="E329" s="10" t="inlineStr">
        <is>
          <t>As a Kurultai operator, I want software-delivery-workflows so that the system behaves predictably and safely.</t>
        </is>
      </c>
      <c r="F329" s="10" t="inlineStr">
        <is>
          <t>Class-level software delivery workflow: planning, spikes, TDD, debugging, runtime debuggers, pre-commit review, and verification.</t>
        </is>
      </c>
      <c r="G329" s="10" t="inlineStr">
        <is>
          <t>config/runtime-config/skills.manifest.json</t>
        </is>
      </c>
      <c r="H329" s="10" t="inlineStr">
        <is>
          <t>test_skill_manifest_has_metadata_for_every_declared_capability; local SKILL.md inventory</t>
        </is>
      </c>
      <c r="I329" s="10" t="inlineStr">
        <is>
          <t>Declared; package unavailable</t>
        </is>
      </c>
      <c r="J329" s="10" t="inlineStr">
        <is>
          <t>Yes</t>
        </is>
      </c>
      <c r="K329" s="10" t="inlineStr">
        <is>
          <t>Declared path software-development/software-delivery-workflows is not available locally.</t>
        </is>
      </c>
    </row>
    <row r="330" outlineLevel="1" ht="52" customHeight="1">
      <c r="A330" s="10" t="inlineStr">
        <is>
          <t>F-0329</t>
        </is>
      </c>
      <c r="B330" s="10" t="inlineStr">
        <is>
          <t>Skills</t>
        </is>
      </c>
      <c r="C330" s="10" t="inlineStr">
        <is>
          <t>static-site-live-data-deployment</t>
        </is>
      </c>
      <c r="D330" s="10" t="inlineStr">
        <is>
          <t>Manifest capability</t>
        </is>
      </c>
      <c r="E330" s="10" t="inlineStr">
        <is>
          <t>As a Kurultai operator, I want static-site-live-data-deployment so that the system behaves predictably and safely.</t>
        </is>
      </c>
      <c r="F330" s="10" t="inlineStr">
        <is>
          <t>Wire, deploy, and verify live-data ingestion for static/SPAs that consume JSON snapshots or SSE-style live endpoints.</t>
        </is>
      </c>
      <c r="G330" s="10" t="inlineStr">
        <is>
          <t>config/runtime-config/skills.manifest.json</t>
        </is>
      </c>
      <c r="H330" s="10" t="inlineStr">
        <is>
          <t>test_skill_manifest_has_metadata_for_every_declared_capability; local SKILL.md inventory</t>
        </is>
      </c>
      <c r="I330" s="10" t="inlineStr">
        <is>
          <t>Declared; package unavailable</t>
        </is>
      </c>
      <c r="J330" s="10" t="inlineStr">
        <is>
          <t>Yes</t>
        </is>
      </c>
      <c r="K330" s="10" t="inlineStr">
        <is>
          <t>Declared path software-development/static-site-live-data-deployment is not available locally.</t>
        </is>
      </c>
    </row>
    <row r="331" outlineLevel="1" ht="52" customHeight="1">
      <c r="A331" s="10" t="inlineStr">
        <is>
          <t>F-0330</t>
        </is>
      </c>
      <c r="B331" s="10" t="inlineStr">
        <is>
          <t>Skills</t>
        </is>
      </c>
      <c r="C331" s="10" t="inlineStr">
        <is>
          <t>subagent-driven-development</t>
        </is>
      </c>
      <c r="D331" s="10" t="inlineStr">
        <is>
          <t>Manifest capability</t>
        </is>
      </c>
      <c r="E331" s="10" t="inlineStr">
        <is>
          <t>As a Kurultai operator, I want subagent-driven-development so that the system behaves predictably and safely.</t>
        </is>
      </c>
      <c r="F331" s="10" t="inlineStr">
        <is>
          <t>Execute plans via delegate_task subagents (2-stage review).</t>
        </is>
      </c>
      <c r="G331" s="10" t="inlineStr">
        <is>
          <t>config/runtime-config/skills.manifest.json</t>
        </is>
      </c>
      <c r="H331" s="10" t="inlineStr">
        <is>
          <t>test_skill_manifest_has_metadata_for_every_declared_capability; local SKILL.md inventory</t>
        </is>
      </c>
      <c r="I331" s="10" t="inlineStr">
        <is>
          <t>Installed / contract verified</t>
        </is>
      </c>
      <c r="J331" s="10" t="inlineStr">
        <is>
          <t>No</t>
        </is>
      </c>
      <c r="K331" s="10" t="inlineStr">
        <is>
          <t>A local skill package with the same declared name is present.</t>
        </is>
      </c>
    </row>
    <row r="332" outlineLevel="1" ht="52" customHeight="1">
      <c r="A332" s="10" t="inlineStr">
        <is>
          <t>F-0331</t>
        </is>
      </c>
      <c r="B332" s="10" t="inlineStr">
        <is>
          <t>Skills</t>
        </is>
      </c>
      <c r="C332" s="10" t="inlineStr">
        <is>
          <t>writing-plans</t>
        </is>
      </c>
      <c r="D332" s="10" t="inlineStr">
        <is>
          <t>Manifest capability</t>
        </is>
      </c>
      <c r="E332" s="10" t="inlineStr">
        <is>
          <t>As a Kurultai operator, I want writing-plans so that the system behaves predictably and safely.</t>
        </is>
      </c>
      <c r="F332" s="10" t="inlineStr">
        <is>
          <t>Use when you have a spec or requirements for a multi-step task. Creates comprehensive implementation plans with bite-sized tasks, exact file paths, and complete code examples.</t>
        </is>
      </c>
      <c r="G332" s="10" t="inlineStr">
        <is>
          <t>config/runtime-config/skills.manifest.json</t>
        </is>
      </c>
      <c r="H332" s="10" t="inlineStr">
        <is>
          <t>test_skill_manifest_has_metadata_for_every_declared_capability; local SKILL.md inventory</t>
        </is>
      </c>
      <c r="I332" s="10" t="inlineStr">
        <is>
          <t>Declared; package unavailable</t>
        </is>
      </c>
      <c r="J332" s="10" t="inlineStr">
        <is>
          <t>Yes</t>
        </is>
      </c>
      <c r="K332" s="10" t="inlineStr">
        <is>
          <t>Declared path software-development/writing-plans is not available locally.</t>
        </is>
      </c>
    </row>
    <row r="333" outlineLevel="1" ht="52" customHeight="1">
      <c r="A333" s="10" t="inlineStr">
        <is>
          <t>F-0332</t>
        </is>
      </c>
      <c r="B333" s="10" t="inlineStr">
        <is>
          <t>Skills</t>
        </is>
      </c>
      <c r="C333" s="10" t="inlineStr">
        <is>
          <t>hermes-model-switch</t>
        </is>
      </c>
      <c r="D333" s="10" t="inlineStr">
        <is>
          <t>Manifest capability</t>
        </is>
      </c>
      <c r="E333" s="10" t="inlineStr">
        <is>
          <t>As a Kurultai operator, I want hermes-model-switch so that the system behaves predictably and safely.</t>
        </is>
      </c>
      <c r="F333" s="10" t="inlineStr">
        <is>
          <t>Switch the Hermes default model/provider configuration safely, with backup, guarded config editing, gateway restart, verification, and optional scheduled revert. No secrets in output.</t>
        </is>
      </c>
      <c r="G333" s="10" t="inlineStr">
        <is>
          <t>config/runtime-config/skills.manifest.json</t>
        </is>
      </c>
      <c r="H333" s="10" t="inlineStr">
        <is>
          <t>test_skill_manifest_has_metadata_for_every_declared_capability; local SKILL.md inventory</t>
        </is>
      </c>
      <c r="I333" s="10" t="inlineStr">
        <is>
          <t>Declared; package unavailable</t>
        </is>
      </c>
      <c r="J333" s="10" t="inlineStr">
        <is>
          <t>Yes</t>
        </is>
      </c>
      <c r="K333" s="10" t="inlineStr">
        <is>
          <t>Declared path system/hermes-model-switch is not available locally.</t>
        </is>
      </c>
    </row>
    <row r="334" outlineLevel="1" ht="52" customHeight="1">
      <c r="A334" s="10" t="inlineStr">
        <is>
          <t>F-0333</t>
        </is>
      </c>
      <c r="B334" s="10" t="inlineStr">
        <is>
          <t>Skills</t>
        </is>
      </c>
      <c r="C334" s="10" t="inlineStr">
        <is>
          <t>meta-harness-operations</t>
        </is>
      </c>
      <c r="D334" s="10" t="inlineStr">
        <is>
          <t>Manifest capability</t>
        </is>
      </c>
      <c r="E334" s="10" t="inlineStr">
        <is>
          <t>As a Kurultai operator, I want meta-harness-operations so that the system behaves predictably and safely.</t>
        </is>
      </c>
      <c r="F334" s="10" t="inlineStr">
        <is>
          <t>Operate the meta-harness control plane: curator gate/co-judge behavior, harness controls, read-only evaluation mode, and operator safety boundaries.</t>
        </is>
      </c>
      <c r="G334" s="10" t="inlineStr">
        <is>
          <t>config/runtime-config/skills.manifest.json</t>
        </is>
      </c>
      <c r="H334" s="10" t="inlineStr">
        <is>
          <t>test_skill_manifest_has_metadata_for_every_declared_capability; local SKILL.md inventory</t>
        </is>
      </c>
      <c r="I334" s="10" t="inlineStr">
        <is>
          <t>Declared; package unavailable</t>
        </is>
      </c>
      <c r="J334" s="10" t="inlineStr">
        <is>
          <t>Yes</t>
        </is>
      </c>
      <c r="K334" s="10" t="inlineStr">
        <is>
          <t>Declared path system/meta-harness-operations is not available locally.</t>
        </is>
      </c>
    </row>
  </sheetData>
  <autoFilter ref="A1:K334"/>
  <conditionalFormatting sqref="I2:I334">
    <cfRule type="expression" priority="1" dxfId="0">
      <formula>EXACT($I2,"Pass")</formula>
    </cfRule>
    <cfRule type="expression" priority="2" dxfId="1">
      <formula>EXACT($I2,"Installed / contract verified")</formula>
    </cfRule>
    <cfRule type="expression" priority="3" dxfId="2">
      <formula>EXACT($I2,"Contract verified; not installed")</formula>
    </cfRule>
    <cfRule type="expression" priority="4" dxfId="3">
      <formula>EXACT($I2,"Pending human token")</formula>
    </cfRule>
    <cfRule type="expression" priority="5" dxfId="4">
      <formula>EXACT($I2,"Blocked: missing script")</formula>
    </cfRule>
    <cfRule type="expression" priority="6" dxfId="5">
      <formula>EXACT($I2,"Declared; package unavailable")</formula>
    </cfRule>
  </conditionalFormatting>
  <conditionalFormatting sqref="J2:J334">
    <cfRule type="expression" priority="7" dxfId="3">
      <formula>EXACT($J2,"Yes")</formula>
    </cfRule>
  </conditionalFormatting>
  <dataValidations count="2">
    <dataValidation sqref="I2:I334" showDropDown="0" showInputMessage="0" showErrorMessage="0" allowBlank="0" type="list">
      <formula1>"Pass,Installed / contract verified,Contract verified; not installed,Pending human token,Blocked: missing script,Declared; package unavailable"</formula1>
    </dataValidation>
    <dataValidation sqref="J2:J334" showDropDown="0" showInputMessage="0" showErrorMessage="0" allowBlank="0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275D38"/>
    <outlinePr summaryBelow="1" summaryRight="1"/>
    <pageSetUpPr/>
  </sheetPr>
  <dimension ref="A1:F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1" customWidth="1" min="2" max="2"/>
    <col width="48" customWidth="1" min="3" max="3"/>
    <col width="13" customWidth="1" min="4" max="4"/>
    <col width="52" customWidth="1" min="5" max="5"/>
    <col width="50" customWidth="1" min="6" max="6"/>
  </cols>
  <sheetData>
    <row r="1" ht="30" customHeight="1">
      <c r="A1" s="9" t="inlineStr">
        <is>
          <t>Run ID</t>
        </is>
      </c>
      <c r="B1" s="9" t="inlineStr">
        <is>
          <t>Scope</t>
        </is>
      </c>
      <c r="C1" s="9" t="inlineStr">
        <is>
          <t>Command</t>
        </is>
      </c>
      <c r="D1" s="9" t="inlineStr">
        <is>
          <t>Result</t>
        </is>
      </c>
      <c r="E1" s="9" t="inlineStr">
        <is>
          <t>Evidence</t>
        </is>
      </c>
      <c r="F1" s="9" t="inlineStr">
        <is>
          <t>Covers</t>
        </is>
      </c>
    </row>
    <row r="2" ht="42" customHeight="1">
      <c r="A2" s="10" t="inlineStr">
        <is>
          <t>TR-001</t>
        </is>
      </c>
      <c r="B2" s="10" t="inlineStr">
        <is>
          <t>Repository unit/integration suite</t>
        </is>
      </c>
      <c r="C2" s="10" t="inlineStr">
        <is>
          <t>pytest -q</t>
        </is>
      </c>
      <c r="D2" s="10" t="inlineStr">
        <is>
          <t>Pass</t>
        </is>
      </c>
      <c r="E2" s="10" t="inlineStr">
        <is>
          <t>All repository tests pass</t>
        </is>
      </c>
      <c r="F2" s="10" t="inlineStr">
        <is>
          <t>Installer, bootstrap, retrieval, exporters, validator, contracts</t>
        </is>
      </c>
    </row>
    <row r="3" ht="42" customHeight="1">
      <c r="A3" s="10" t="inlineStr">
        <is>
          <t>TR-002</t>
        </is>
      </c>
      <c r="B3" s="10" t="inlineStr">
        <is>
          <t>Public repository safety validator</t>
        </is>
      </c>
      <c r="C3" s="10" t="inlineStr">
        <is>
          <t>python3 tests/validate_public_repo.py</t>
        </is>
      </c>
      <c r="D3" s="10" t="inlineStr">
        <is>
          <t>Pass</t>
        </is>
      </c>
      <c r="E3" s="10" t="inlineStr">
        <is>
          <t>Public validation passed</t>
        </is>
      </c>
      <c r="F3" s="10" t="inlineStr">
        <is>
          <t>Secret boundary</t>
        </is>
      </c>
    </row>
    <row r="4" ht="42" customHeight="1">
      <c r="A4" s="10" t="inlineStr">
        <is>
          <t>TR-003</t>
        </is>
      </c>
      <c r="B4" s="10" t="inlineStr">
        <is>
          <t>Python compilation</t>
        </is>
      </c>
      <c r="C4" s="10" t="inlineStr">
        <is>
          <t>python3 -m py_compile ...</t>
        </is>
      </c>
      <c r="D4" s="10" t="inlineStr">
        <is>
          <t>Pass</t>
        </is>
      </c>
      <c r="E4" s="10" t="inlineStr">
        <is>
          <t>No syntax errors</t>
        </is>
      </c>
      <c r="F4" s="10" t="inlineStr">
        <is>
          <t>Python entry points</t>
        </is>
      </c>
    </row>
    <row r="5" ht="42" customHeight="1">
      <c r="A5" s="10" t="inlineStr">
        <is>
          <t>TR-004</t>
        </is>
      </c>
      <c r="B5" s="10" t="inlineStr">
        <is>
          <t>Installer doctor JSON</t>
        </is>
      </c>
      <c r="C5" s="10" t="inlineStr">
        <is>
          <t>install_kurultai.py --doctor --json</t>
        </is>
      </c>
      <c r="D5" s="10" t="inlineStr">
        <is>
          <t>Pass</t>
        </is>
      </c>
      <c r="E5" s="10" t="inlineStr">
        <is>
          <t>86 cron jobs, 165 skills, 65,536 local minimum</t>
        </is>
      </c>
      <c r="F5" s="10" t="inlineStr">
        <is>
          <t>Installer diagnostics</t>
        </is>
      </c>
    </row>
    <row r="6" ht="42" customHeight="1">
      <c r="A6" s="10" t="inlineStr">
        <is>
          <t>TR-005</t>
        </is>
      </c>
      <c r="B6" s="10" t="inlineStr">
        <is>
          <t>Cerberus dry run</t>
        </is>
      </c>
      <c r="C6" s="10" t="inlineStr">
        <is>
          <t>install_kurultai.py --dry-run ...</t>
        </is>
      </c>
      <c r="D6" s="10" t="inlineStr">
        <is>
          <t>Pass</t>
        </is>
      </c>
      <c r="E6" s="10" t="inlineStr">
        <is>
          <t>Cerberus names rendered; no writes</t>
        </is>
      </c>
      <c r="F6" s="10" t="inlineStr">
        <is>
          <t>Personalization</t>
        </is>
      </c>
    </row>
    <row r="7" ht="42" customHeight="1">
      <c r="A7" s="10" t="inlineStr">
        <is>
          <t>TR-006</t>
        </is>
      </c>
      <c r="B7" s="10" t="inlineStr">
        <is>
          <t>Installer lifecycle</t>
        </is>
      </c>
      <c r="C7" s="10" t="inlineStr">
        <is>
          <t>Apply/resume/idempotency tests</t>
        </is>
      </c>
      <c r="D7" s="10" t="inlineStr">
        <is>
          <t>Pass</t>
        </is>
      </c>
      <c r="E7" s="10" t="inlineStr">
        <is>
          <t>Preservation and unique receipts pass</t>
        </is>
      </c>
      <c r="F7" s="10" t="inlineStr">
        <is>
          <t>Installer UX</t>
        </is>
      </c>
    </row>
    <row r="8" ht="42" customHeight="1">
      <c r="A8" s="10" t="inlineStr">
        <is>
          <t>TR-007</t>
        </is>
      </c>
      <c r="B8" s="10" t="inlineStr">
        <is>
          <t>Retrieval matrix</t>
        </is>
      </c>
      <c r="C8" s="10" t="inlineStr">
        <is>
          <t>tests/test_retrieval_eval.py</t>
        </is>
      </c>
      <c r="D8" s="10" t="inlineStr">
        <is>
          <t>Pass</t>
        </is>
      </c>
      <c r="E8" s="10" t="inlineStr">
        <is>
          <t>All retrieval tests pass</t>
        </is>
      </c>
      <c r="F8" s="10" t="inlineStr">
        <is>
          <t>18 retrieval stories</t>
        </is>
      </c>
    </row>
    <row r="9" ht="42" customHeight="1">
      <c r="A9" s="10" t="inlineStr">
        <is>
          <t>TR-008</t>
        </is>
      </c>
      <c r="B9" s="10" t="inlineStr">
        <is>
          <t>Manifest exporters</t>
        </is>
      </c>
      <c r="C9" s="10" t="inlineStr">
        <is>
          <t>tests/test_export_manifests.py</t>
        </is>
      </c>
      <c r="D9" s="10" t="inlineStr">
        <is>
          <t>Pass</t>
        </is>
      </c>
      <c r="E9" s="10" t="inlineStr">
        <is>
          <t>All exporter tests pass</t>
        </is>
      </c>
      <c r="F9" s="10" t="inlineStr">
        <is>
          <t>4 export stories</t>
        </is>
      </c>
    </row>
    <row r="10" ht="42" customHeight="1">
      <c r="A10" s="10" t="inlineStr">
        <is>
          <t>TR-009</t>
        </is>
      </c>
      <c r="B10" s="10" t="inlineStr">
        <is>
          <t>Cron entry loop</t>
        </is>
      </c>
      <c r="C10" s="10" t="inlineStr">
        <is>
          <t>Runtime contract cron test</t>
        </is>
      </c>
      <c r="D10" s="10" t="inlineStr">
        <is>
          <t>Pass</t>
        </is>
      </c>
      <c r="E10" s="10" t="inlineStr">
        <is>
          <t>All 86 entries validated</t>
        </is>
      </c>
      <c r="F10" s="10" t="inlineStr">
        <is>
          <t>86 cron stories</t>
        </is>
      </c>
    </row>
    <row r="11" ht="42" customHeight="1">
      <c r="A11" s="10" t="inlineStr">
        <is>
          <t>TR-010</t>
        </is>
      </c>
      <c r="B11" s="10" t="inlineStr">
        <is>
          <t>Skill entry loop</t>
        </is>
      </c>
      <c r="C11" s="10" t="inlineStr">
        <is>
          <t>Runtime contract skill test</t>
        </is>
      </c>
      <c r="D11" s="10" t="inlineStr">
        <is>
          <t>Pass</t>
        </is>
      </c>
      <c r="E11" s="10" t="inlineStr">
        <is>
          <t>All 165 entries validated</t>
        </is>
      </c>
      <c r="F11" s="10" t="inlineStr">
        <is>
          <t>165 skill stories</t>
        </is>
      </c>
    </row>
    <row r="12" ht="42" customHeight="1">
      <c r="A12" s="10" t="inlineStr">
        <is>
          <t>TR-011</t>
        </is>
      </c>
      <c r="B12" s="10" t="inlineStr">
        <is>
          <t>Profile roster</t>
        </is>
      </c>
      <c r="C12" s="10" t="inlineStr">
        <is>
          <t>hermes profile list; contract test</t>
        </is>
      </c>
      <c r="D12" s="10" t="inlineStr">
        <is>
          <t>Pass</t>
        </is>
      </c>
      <c r="E12" s="10" t="inlineStr">
        <is>
          <t>11 profiles present</t>
        </is>
      </c>
      <c r="F12" s="10" t="inlineStr">
        <is>
          <t>11 profile stories</t>
        </is>
      </c>
    </row>
    <row r="13" ht="42" customHeight="1">
      <c r="A13" s="10" t="inlineStr">
        <is>
          <t>TR-012</t>
        </is>
      </c>
      <c r="B13" s="10" t="inlineStr">
        <is>
          <t>Brain scaffold</t>
        </is>
      </c>
      <c r="C13" s="10" t="inlineStr">
        <is>
          <t>Installer/bootstrap tests</t>
        </is>
      </c>
      <c r="D13" s="10" t="inlineStr">
        <is>
          <t>Pass</t>
        </is>
      </c>
      <c r="E13" s="10" t="inlineStr">
        <is>
          <t>Required tree and preservation pass</t>
        </is>
      </c>
      <c r="F13" s="10" t="inlineStr">
        <is>
          <t>18 Brain stories</t>
        </is>
      </c>
    </row>
    <row r="14" ht="42" customHeight="1">
      <c r="A14" s="10" t="inlineStr">
        <is>
          <t>TR-013</t>
        </is>
      </c>
      <c r="B14" s="10" t="inlineStr">
        <is>
          <t>QMD retrieval</t>
        </is>
      </c>
      <c r="C14" s="10" t="inlineStr">
        <is>
          <t>qmd collection/status/search</t>
        </is>
      </c>
      <c r="D14" s="10" t="inlineStr">
        <is>
          <t>Pass</t>
        </is>
      </c>
      <c r="E14" s="10" t="inlineStr">
        <is>
          <t>6 files, 8 vectors, search result</t>
        </is>
      </c>
      <c r="F14" s="10" t="inlineStr">
        <is>
          <t>Public Brain index</t>
        </is>
      </c>
    </row>
    <row r="15" ht="42" customHeight="1">
      <c r="A15" s="10" t="inlineStr">
        <is>
          <t>TR-014</t>
        </is>
      </c>
      <c r="B15" s="10" t="inlineStr">
        <is>
          <t>Native Kanban</t>
        </is>
      </c>
      <c r="C15" s="10" t="inlineStr">
        <is>
          <t>Kanban create/complete smoke</t>
        </is>
      </c>
      <c r="D15" s="10" t="inlineStr">
        <is>
          <t>Pass</t>
        </is>
      </c>
      <c r="E15" s="10" t="inlineStr">
        <is>
          <t>Smoke task completed</t>
        </is>
      </c>
      <c r="F15" s="10" t="inlineStr">
        <is>
          <t>Native Kanban</t>
        </is>
      </c>
    </row>
    <row r="16" ht="42" customHeight="1">
      <c r="A16" s="10" t="inlineStr">
        <is>
          <t>TR-015</t>
        </is>
      </c>
      <c r="B16" s="10" t="inlineStr">
        <is>
          <t>Tolui direct inference</t>
        </is>
      </c>
      <c r="C16" s="10" t="inlineStr">
        <is>
          <t>POST /v1/chat/completions</t>
        </is>
      </c>
      <c r="D16" s="10" t="inlineStr">
        <is>
          <t>Pass</t>
        </is>
      </c>
      <c r="E16" s="10" t="inlineStr">
        <is>
          <t>DIRECT_LOCAL_OK</t>
        </is>
      </c>
      <c r="F16" s="10" t="inlineStr">
        <is>
          <t>Local model server</t>
        </is>
      </c>
    </row>
    <row r="17" ht="42" customHeight="1">
      <c r="A17" s="10" t="inlineStr">
        <is>
          <t>TR-016</t>
        </is>
      </c>
      <c r="B17" s="10" t="inlineStr">
        <is>
          <t>Tolui Hermes integration</t>
        </is>
      </c>
      <c r="C17" s="10" t="inlineStr">
        <is>
          <t>hermes --profile tolui -z ...</t>
        </is>
      </c>
      <c r="D17" s="10" t="inlineStr">
        <is>
          <t>Pass</t>
        </is>
      </c>
      <c r="E17" s="10" t="inlineStr">
        <is>
          <t>TOLUI_HERMES_SMOKE_OK</t>
        </is>
      </c>
      <c r="F17" s="10" t="inlineStr">
        <is>
          <t>Tolui lane</t>
        </is>
      </c>
    </row>
    <row r="18" ht="42" customHeight="1">
      <c r="A18" s="10" t="inlineStr">
        <is>
          <t>TR-017</t>
        </is>
      </c>
      <c r="B18" s="10" t="inlineStr">
        <is>
          <t>Telegram dependency</t>
        </is>
      </c>
      <c r="C18" s="10" t="inlineStr">
        <is>
          <t>Hermes doctor and adapter preflight</t>
        </is>
      </c>
      <c r="D18" s="10" t="inlineStr">
        <is>
          <t>Pass</t>
        </is>
      </c>
      <c r="E18" s="10" t="inlineStr">
        <is>
          <t>python-telegram-bot 22.6</t>
        </is>
      </c>
      <c r="F18" s="10" t="inlineStr">
        <is>
          <t>Telegram runtime</t>
        </is>
      </c>
    </row>
    <row r="19" ht="42" customHeight="1">
      <c r="A19" s="10" t="inlineStr">
        <is>
          <t>TR-018</t>
        </is>
      </c>
      <c r="B19" s="10" t="inlineStr">
        <is>
          <t>Cerberus Telegram live loop</t>
        </is>
      </c>
      <c r="C19" s="10" t="inlineStr">
        <is>
          <t>getMe + polling + outbound + inbound /status</t>
        </is>
      </c>
      <c r="D19" s="10" t="inlineStr">
        <is>
          <t>Pass</t>
        </is>
      </c>
      <c r="E19" s="10" t="inlineStr">
        <is>
          <t>Connected and sent multiple responses</t>
        </is>
      </c>
      <c r="F19" s="10" t="inlineStr">
        <is>
          <t>Chair gateway</t>
        </is>
      </c>
    </row>
    <row r="20" ht="42" customHeight="1">
      <c r="A20" s="10" t="inlineStr">
        <is>
          <t>TR-019</t>
        </is>
      </c>
      <c r="B20" s="10" t="inlineStr">
        <is>
          <t>OpenAI Codex authentication</t>
        </is>
      </c>
      <c r="C20" s="10" t="inlineStr">
        <is>
          <t>hermes auth status openai-codex</t>
        </is>
      </c>
      <c r="D20" s="10" t="inlineStr">
        <is>
          <t>Pass</t>
        </is>
      </c>
      <c r="E20" s="10" t="inlineStr">
        <is>
          <t>Logged in</t>
        </is>
      </c>
      <c r="F20" s="10" t="inlineStr">
        <is>
          <t>Frontier provider</t>
        </is>
      </c>
    </row>
    <row r="21" ht="42" customHeight="1">
      <c r="A21" s="10" t="inlineStr">
        <is>
          <t>TR-020</t>
        </is>
      </c>
      <c r="B21" s="10" t="inlineStr">
        <is>
          <t>Ogedei Telegram live loop</t>
        </is>
      </c>
      <c r="C21" s="10" t="inlineStr">
        <is>
          <t>Separate Ogedei gateway smoke</t>
        </is>
      </c>
      <c r="D21" s="10" t="inlineStr">
        <is>
          <t>Pending human token</t>
        </is>
      </c>
      <c r="E21" s="10" t="inlineStr">
        <is>
          <t>No separate credential supplied</t>
        </is>
      </c>
      <c r="F21" s="10" t="inlineStr">
        <is>
          <t>Ogedei gateway</t>
        </is>
      </c>
    </row>
    <row r="22" ht="42" customHeight="1">
      <c r="A22" s="10" t="inlineStr">
        <is>
          <t>TR-021</t>
        </is>
      </c>
      <c r="B22" s="10" t="inlineStr">
        <is>
          <t>Canonical workbook build/render</t>
        </is>
      </c>
      <c r="C22" s="10" t="inlineStr">
        <is>
          <t>artifact-tool export/render</t>
        </is>
      </c>
      <c r="D22" s="10" t="inlineStr">
        <is>
          <t>Blocked tooling</t>
        </is>
      </c>
      <c r="E22" s="10" t="inlineStr">
        <is>
          <t>@oai/artifact-tool unavailable</t>
        </is>
      </c>
      <c r="F22" s="10" t="inlineStr">
        <is>
          <t>Canonical spreadsheet</t>
        </is>
      </c>
    </row>
    <row r="23" ht="42" customHeight="1">
      <c r="A23" s="10" t="inlineStr">
        <is>
          <t>TR-022</t>
        </is>
      </c>
      <c r="B23" s="10" t="inlineStr">
        <is>
          <t>Credential-shape scan</t>
        </is>
      </c>
      <c r="C23" s="10" t="inlineStr">
        <is>
          <t>Public repo token-shape scan</t>
        </is>
      </c>
      <c r="D23" s="10" t="inlineStr">
        <is>
          <t>Pass</t>
        </is>
      </c>
      <c r="E23" s="10" t="inlineStr">
        <is>
          <t>Zero Telegram-token-shaped values</t>
        </is>
      </c>
      <c r="F23" s="10" t="inlineStr">
        <is>
          <t>Secret boundary</t>
        </is>
      </c>
    </row>
  </sheetData>
  <autoFilter ref="A1:F2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9C0006"/>
    <outlinePr summaryBelow="1" summaryRight="1"/>
    <pageSetUpPr/>
  </sheetPr>
  <dimension ref="A1:G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58" customWidth="1" min="3" max="3"/>
    <col width="14" customWidth="1" min="4" max="4"/>
    <col width="16" customWidth="1" min="5" max="5"/>
    <col width="58" customWidth="1" min="6" max="6"/>
    <col width="46" customWidth="1" min="7" max="7"/>
  </cols>
  <sheetData>
    <row r="1" ht="30" customHeight="1">
      <c r="A1" s="9" t="inlineStr">
        <is>
          <t>Defect ID</t>
        </is>
      </c>
      <c r="B1" s="9" t="inlineStr">
        <is>
          <t>Area</t>
        </is>
      </c>
      <c r="C1" s="9" t="inlineStr">
        <is>
          <t>Summary</t>
        </is>
      </c>
      <c r="D1" s="9" t="inlineStr">
        <is>
          <t>Severity</t>
        </is>
      </c>
      <c r="E1" s="9" t="inlineStr">
        <is>
          <t>Status</t>
        </is>
      </c>
      <c r="F1" s="9" t="inlineStr">
        <is>
          <t>Fix</t>
        </is>
      </c>
      <c r="G1" s="9" t="inlineStr">
        <is>
          <t>Verification</t>
        </is>
      </c>
    </row>
    <row r="2" ht="42" customHeight="1">
      <c r="A2" s="10" t="inlineStr">
        <is>
          <t>D-001</t>
        </is>
      </c>
      <c r="B2" s="10" t="inlineStr">
        <is>
          <t>Installer</t>
        </is>
      </c>
      <c r="C2" s="10" t="inlineStr">
        <is>
          <t>Existing Brain AGENTS.md was overwritten on apply/bootstrap</t>
        </is>
      </c>
      <c r="D2" s="10" t="inlineStr">
        <is>
          <t>Critical</t>
        </is>
      </c>
      <c r="E2" s="10" t="inlineStr">
        <is>
          <t>Fixed</t>
        </is>
      </c>
      <c r="F2" s="10" t="inlineStr">
        <is>
          <t>Added copy/write-if-absent preservation helpers</t>
        </is>
      </c>
      <c r="G2" s="10" t="inlineStr">
        <is>
          <t>Preservation regression tests</t>
        </is>
      </c>
    </row>
    <row r="3" ht="42" customHeight="1">
      <c r="A3" s="10" t="inlineStr">
        <is>
          <t>D-002</t>
        </is>
      </c>
      <c r="B3" s="10" t="inlineStr">
        <is>
          <t>Installer</t>
        </is>
      </c>
      <c r="C3" s="10" t="inlineStr">
        <is>
          <t>Second-resolution receipt and plan names collided</t>
        </is>
      </c>
      <c r="D3" s="10" t="inlineStr">
        <is>
          <t>High</t>
        </is>
      </c>
      <c r="E3" s="10" t="inlineStr">
        <is>
          <t>Fixed</t>
        </is>
      </c>
      <c r="F3" s="10" t="inlineStr">
        <is>
          <t>Use microsecond timestamp slugs</t>
        </is>
      </c>
      <c r="G3" s="10" t="inlineStr">
        <is>
          <t>Rapid repeated-run tests</t>
        </is>
      </c>
    </row>
    <row r="4" ht="42" customHeight="1">
      <c r="A4" s="10" t="inlineStr">
        <is>
          <t>D-003</t>
        </is>
      </c>
      <c r="B4" s="10" t="inlineStr">
        <is>
          <t>Retrieval security</t>
        </is>
      </c>
      <c r="C4" s="10" t="inlineStr">
        <is>
          <t>Absolute Unix, Windows, UNC, and traversal paths bypassed normalization</t>
        </is>
      </c>
      <c r="D4" s="10" t="inlineStr">
        <is>
          <t>Critical</t>
        </is>
      </c>
      <c r="E4" s="10" t="inlineStr">
        <is>
          <t>Fixed</t>
        </is>
      </c>
      <c r="F4" s="10" t="inlineStr">
        <is>
          <t>Added PurePosix/PureWindows path checks</t>
        </is>
      </c>
      <c r="G4" s="10" t="inlineStr">
        <is>
          <t>Unsafe path parameter tests</t>
        </is>
      </c>
    </row>
    <row r="5" ht="42" customHeight="1">
      <c r="A5" s="10" t="inlineStr">
        <is>
          <t>D-004</t>
        </is>
      </c>
      <c r="B5" s="10" t="inlineStr">
        <is>
          <t>Retrieval UX</t>
        </is>
      </c>
      <c r="C5" s="10" t="inlineStr">
        <is>
          <t>Malformed NDJSON emitted an unhelpful traceback</t>
        </is>
      </c>
      <c r="D5" s="10" t="inlineStr">
        <is>
          <t>Medium</t>
        </is>
      </c>
      <c r="E5" s="10" t="inlineStr">
        <is>
          <t>Fixed</t>
        </is>
      </c>
      <c r="F5" s="10" t="inlineStr">
        <is>
          <t>Report file and line with concise CLI errors</t>
        </is>
      </c>
      <c r="G5" s="10" t="inlineStr">
        <is>
          <t>Invalid NDJSON CLI tests</t>
        </is>
      </c>
    </row>
    <row r="6" ht="42" customHeight="1">
      <c r="A6" s="10" t="inlineStr">
        <is>
          <t>D-005</t>
        </is>
      </c>
      <c r="B6" s="10" t="inlineStr">
        <is>
          <t>Documentation</t>
        </is>
      </c>
      <c r="C6" s="10" t="inlineStr">
        <is>
          <t>Brain README referenced nonexistent scripts/bootstrap.sh</t>
        </is>
      </c>
      <c r="D6" s="10" t="inlineStr">
        <is>
          <t>Medium</t>
        </is>
      </c>
      <c r="E6" s="10" t="inlineStr">
        <is>
          <t>Fixed</t>
        </is>
      </c>
      <c r="F6" s="10" t="inlineStr">
        <is>
          <t>Pointed documentation to bootstrap_kurultai_runtime.py</t>
        </is>
      </c>
      <c r="G6" s="10" t="inlineStr">
        <is>
          <t>Documentation inspection</t>
        </is>
      </c>
    </row>
    <row r="7" ht="42" customHeight="1">
      <c r="A7" s="10" t="inlineStr">
        <is>
          <t>D-006</t>
        </is>
      </c>
      <c r="B7" s="10" t="inlineStr">
        <is>
          <t>Cron export</t>
        </is>
      </c>
      <c r="C7" s="10" t="inlineStr">
        <is>
          <t>Privacy filter treated substrings such as recall as call reminders</t>
        </is>
      </c>
      <c r="D7" s="10" t="inlineStr">
        <is>
          <t>High</t>
        </is>
      </c>
      <c r="E7" s="10" t="inlineStr">
        <is>
          <t>Fixed</t>
        </is>
      </c>
      <c r="F7" s="10" t="inlineStr">
        <is>
          <t>Use word-boundary matching</t>
        </is>
      </c>
      <c r="G7" s="10" t="inlineStr">
        <is>
          <t>Cron exporter regression test</t>
        </is>
      </c>
    </row>
    <row r="8" ht="42" customHeight="1">
      <c r="A8" s="10" t="inlineStr">
        <is>
          <t>D-007</t>
        </is>
      </c>
      <c r="B8" s="10" t="inlineStr">
        <is>
          <t>Brain export</t>
        </is>
      </c>
      <c r="C8" s="10" t="inlineStr">
        <is>
          <t>Nested hard-private Markdown affected public counts</t>
        </is>
      </c>
      <c r="D8" s="10" t="inlineStr">
        <is>
          <t>High</t>
        </is>
      </c>
      <c r="E8" s="10" t="inlineStr">
        <is>
          <t>Fixed</t>
        </is>
      </c>
      <c r="F8" s="10" t="inlineStr">
        <is>
          <t>Exclude private/cache path components recursively</t>
        </is>
      </c>
      <c r="G8" s="10" t="inlineStr">
        <is>
          <t>Brain manifest exporter test</t>
        </is>
      </c>
    </row>
    <row r="9" ht="42" customHeight="1">
      <c r="A9" s="10" t="inlineStr">
        <is>
          <t>D-008</t>
        </is>
      </c>
      <c r="B9" s="10" t="inlineStr">
        <is>
          <t>Installer resume</t>
        </is>
      </c>
      <c r="C9" s="10" t="inlineStr">
        <is>
          <t>Install-plan files matched the latest-receipt glob</t>
        </is>
      </c>
      <c r="D9" s="10" t="inlineStr">
        <is>
          <t>Medium</t>
        </is>
      </c>
      <c r="E9" s="10" t="inlineStr">
        <is>
          <t>Fixed</t>
        </is>
      </c>
      <c r="F9" s="10" t="inlineStr">
        <is>
          <t>Exclude install-plan prefix from receipt candidates</t>
        </is>
      </c>
      <c r="G9" s="10" t="inlineStr">
        <is>
          <t>Resume tests</t>
        </is>
      </c>
    </row>
    <row r="10" ht="42" customHeight="1">
      <c r="A10" s="10" t="inlineStr">
        <is>
          <t>D-009</t>
        </is>
      </c>
      <c r="B10" s="10" t="inlineStr">
        <is>
          <t>Retrieval scrubber</t>
        </is>
      </c>
      <c r="C10" s="10" t="inlineStr">
        <is>
          <t>token=[REDACTED] remained secret-shaped</t>
        </is>
      </c>
      <c r="D10" s="10" t="inlineStr">
        <is>
          <t>High</t>
        </is>
      </c>
      <c r="E10" s="10" t="inlineStr">
        <is>
          <t>Fixed</t>
        </is>
      </c>
      <c r="F10" s="10" t="inlineStr">
        <is>
          <t>Use a non-assignment redaction marker</t>
        </is>
      </c>
      <c r="G10" s="10" t="inlineStr">
        <is>
          <t>Public export scrub test</t>
        </is>
      </c>
    </row>
    <row r="11" ht="42" customHeight="1">
      <c r="A11" s="10" t="inlineStr">
        <is>
          <t>D-010</t>
        </is>
      </c>
      <c r="B11" s="10" t="inlineStr">
        <is>
          <t>Brain scaffold</t>
        </is>
      </c>
      <c r="C11" s="10" t="inlineStr">
        <is>
          <t>Documented log.md and top-level plans/ were not created</t>
        </is>
      </c>
      <c r="D11" s="10" t="inlineStr">
        <is>
          <t>Medium</t>
        </is>
      </c>
      <c r="E11" s="10" t="inlineStr">
        <is>
          <t>Fixed</t>
        </is>
      </c>
      <c r="F11" s="10" t="inlineStr">
        <is>
          <t>Added both to installer/bootstrap/contracts</t>
        </is>
      </c>
      <c r="G11" s="10" t="inlineStr">
        <is>
          <t>Apply/bootstrap/runtime tests</t>
        </is>
      </c>
    </row>
    <row r="12" ht="42" customHeight="1">
      <c r="A12" s="10" t="inlineStr">
        <is>
          <t>D-011</t>
        </is>
      </c>
      <c r="B12" s="10" t="inlineStr">
        <is>
          <t>Local runtime</t>
        </is>
      </c>
      <c r="C12" s="10" t="inlineStr">
        <is>
          <t>Frontier profiles inherited a stale OpenRouter base URL</t>
        </is>
      </c>
      <c r="D12" s="10" t="inlineStr">
        <is>
          <t>High</t>
        </is>
      </c>
      <c r="E12" s="10" t="inlineStr">
        <is>
          <t>Fixed locally</t>
        </is>
      </c>
      <c r="F12" s="10" t="inlineStr">
        <is>
          <t>Cleared profile base_url for openai-codex</t>
        </is>
      </c>
      <c r="G12" s="10" t="inlineStr">
        <is>
          <t>Profile config checks</t>
        </is>
      </c>
    </row>
    <row r="13" ht="42" customHeight="1">
      <c r="A13" s="10" t="inlineStr">
        <is>
          <t>D-012</t>
        </is>
      </c>
      <c r="B13" s="10" t="inlineStr">
        <is>
          <t>Tolui integration</t>
        </is>
      </c>
      <c r="C13" s="10" t="inlineStr">
        <is>
          <t>Tolui used 8,192 context, below Hermes's 65,536 minimum</t>
        </is>
      </c>
      <c r="D13" s="10" t="inlineStr">
        <is>
          <t>High</t>
        </is>
      </c>
      <c r="E13" s="10" t="inlineStr">
        <is>
          <t>Fixed</t>
        </is>
      </c>
      <c r="F13" s="10" t="inlineStr">
        <is>
          <t>Raised server/profile context and used Q8 KV cache with one slot</t>
        </is>
      </c>
      <c r="G13" s="10" t="inlineStr">
        <is>
          <t>Direct and Hermes one-shot smoke</t>
        </is>
      </c>
    </row>
    <row r="14" ht="42" customHeight="1">
      <c r="A14" s="10" t="inlineStr">
        <is>
          <t>D-013</t>
        </is>
      </c>
      <c r="B14" s="10" t="inlineStr">
        <is>
          <t>QMD</t>
        </is>
      </c>
      <c r="C14" s="10" t="inlineStr">
        <is>
          <t>QMD was unavailable and documented update syntax was stale</t>
        </is>
      </c>
      <c r="D14" s="10" t="inlineStr">
        <is>
          <t>Medium</t>
        </is>
      </c>
      <c r="E14" s="10" t="inlineStr">
        <is>
          <t>Fixed</t>
        </is>
      </c>
      <c r="F14" s="10" t="inlineStr">
        <is>
          <t>Installed QMD, registered collection, corrected update syntax</t>
        </is>
      </c>
      <c r="G14" s="10" t="inlineStr">
        <is>
          <t>QMD status/search and tests</t>
        </is>
      </c>
    </row>
    <row r="15" ht="42" customHeight="1">
      <c r="A15" s="10" t="inlineStr">
        <is>
          <t>D-014</t>
        </is>
      </c>
      <c r="B15" s="10" t="inlineStr">
        <is>
          <t>Telegram UX</t>
        </is>
      </c>
      <c r="C15" s="10" t="inlineStr">
        <is>
          <t>A placeholder in live TELEGRAM_BOT_TOKEN caused endless invalid-token retries</t>
        </is>
      </c>
      <c r="D15" s="10" t="inlineStr">
        <is>
          <t>High</t>
        </is>
      </c>
      <c r="E15" s="10" t="inlineStr">
        <is>
          <t>Fixed</t>
        </is>
      </c>
      <c r="F15" s="10" t="inlineStr">
        <is>
          <t>Cleared placeholder, configured a real private credential, and documented that live placeholders are forbidden</t>
        </is>
      </c>
      <c r="G15" s="10" t="inlineStr">
        <is>
          <t>Telegram getMe, polling, outbound and inbound response</t>
        </is>
      </c>
    </row>
    <row r="16" ht="42" customHeight="1">
      <c r="A16" s="10" t="inlineStr">
        <is>
          <t>D-015</t>
        </is>
      </c>
      <c r="B16" s="10" t="inlineStr">
        <is>
          <t>Frontier auth</t>
        </is>
      </c>
      <c r="C16" s="10" t="inlineStr">
        <is>
          <t>OpenAI Codex OAuth was incomplete</t>
        </is>
      </c>
      <c r="D16" s="10" t="inlineStr">
        <is>
          <t>High</t>
        </is>
      </c>
      <c r="E16" s="10" t="inlineStr">
        <is>
          <t>Fixed</t>
        </is>
      </c>
      <c r="F16" s="10" t="inlineStr">
        <is>
          <t>Completed provider authentication</t>
        </is>
      </c>
      <c r="G16" s="10" t="inlineStr">
        <is>
          <t>hermes auth status openai-codex</t>
        </is>
      </c>
    </row>
    <row r="17" ht="42" customHeight="1">
      <c r="A17" s="10" t="inlineStr">
        <is>
          <t>D-016</t>
        </is>
      </c>
      <c r="B17" s="10" t="inlineStr">
        <is>
          <t>Telegram runtime</t>
        </is>
      </c>
      <c r="C17" s="10" t="inlineStr">
        <is>
          <t>Hermes Telegram adapter dependency was absent</t>
        </is>
      </c>
      <c r="D17" s="10" t="inlineStr">
        <is>
          <t>High</t>
        </is>
      </c>
      <c r="E17" s="10" t="inlineStr">
        <is>
          <t>Fixed</t>
        </is>
      </c>
      <c r="F17" s="10" t="inlineStr">
        <is>
          <t>Installed python-telegram-bot[webhooks] 22.6</t>
        </is>
      </c>
      <c r="G17" s="10" t="inlineStr">
        <is>
          <t>Hermes doctor and adapter preflight</t>
        </is>
      </c>
    </row>
    <row r="18" ht="42" customHeight="1">
      <c r="A18" s="10" t="inlineStr">
        <is>
          <t>D-017</t>
        </is>
      </c>
      <c r="B18" s="10" t="inlineStr">
        <is>
          <t>Tolui install UX</t>
        </is>
      </c>
      <c r="C18" s="10" t="inlineStr">
        <is>
          <t>Rebuild guidance omitted Hermes minimum context and 16 GB-safe flags</t>
        </is>
      </c>
      <c r="D18" s="10" t="inlineStr">
        <is>
          <t>High</t>
        </is>
      </c>
      <c r="E18" s="10" t="inlineStr">
        <is>
          <t>Fixed</t>
        </is>
      </c>
      <c r="F18" s="10" t="inlineStr">
        <is>
          <t>Added 65,536/Q8/one-slot guidance and tests</t>
        </is>
      </c>
      <c r="G18" s="10" t="inlineStr">
        <is>
          <t>Installer/runtime contract tests</t>
        </is>
      </c>
    </row>
    <row r="19" ht="42" customHeight="1">
      <c r="A19" s="10" t="inlineStr">
        <is>
          <t>D-018</t>
        </is>
      </c>
      <c r="B19" s="10" t="inlineStr">
        <is>
          <t>Workbook tooling</t>
        </is>
      </c>
      <c r="C19" s="10" t="inlineStr">
        <is>
          <t>The mandated @oai/artifact-tool runtime is unavailable</t>
        </is>
      </c>
      <c r="D19" s="10" t="inlineStr">
        <is>
          <t>High</t>
        </is>
      </c>
      <c r="E19" s="10" t="inlineStr">
        <is>
          <t>Blocked external</t>
        </is>
      </c>
      <c r="F19" s="10" t="inlineStr">
        <is>
          <t>Expose load_workspace_dependencies/@oai/artifact-tool, then run this builder</t>
        </is>
      </c>
      <c r="G19" s="10" t="inlineStr">
        <is>
          <t>Module import and tool discovery checks</t>
        </is>
      </c>
    </row>
  </sheetData>
  <autoFilter ref="A1:G1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E4DFEC"/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5" customWidth="1" min="2" max="2"/>
  </cols>
  <sheetData>
    <row r="1" ht="30" customHeight="1">
      <c r="A1" s="9" t="inlineStr">
        <is>
          <t>Field</t>
        </is>
      </c>
      <c r="B1" s="9" t="inlineStr">
        <is>
          <t>Meaning</t>
        </is>
      </c>
    </row>
    <row r="2" ht="38" customHeight="1">
      <c r="A2" s="11" t="inlineStr">
        <is>
          <t>Purpose</t>
        </is>
      </c>
      <c r="B2" s="10" t="inlineStr">
        <is>
          <t>Single canonical tracker for every Kurultai feature/user story, expected behavior, status, tests, and defects.</t>
        </is>
      </c>
    </row>
    <row r="3" ht="38" customHeight="1">
      <c r="A3" s="11" t="inlineStr">
        <is>
          <t>Source repository</t>
        </is>
      </c>
      <c r="B3" s="10" t="inlineStr">
        <is>
          <t>https://github.com/Danservfinn/kurultai</t>
        </is>
      </c>
    </row>
    <row r="4" ht="38" customHeight="1">
      <c r="A4" s="11" t="inlineStr">
        <is>
          <t>Installed source commit</t>
        </is>
      </c>
      <c r="B4" s="10" t="inlineStr">
        <is>
          <t>ae4eda273e2a1a5d797afc258f97f9b726bab375</t>
        </is>
      </c>
    </row>
    <row r="5" ht="38" customHeight="1">
      <c r="A5" s="11" t="inlineStr">
        <is>
          <t>Feature coverage</t>
        </is>
      </c>
      <c r="B5" s="10" t="inlineStr">
        <is>
          <t>333 stories derived from executable code and public runtime manifests.</t>
        </is>
      </c>
    </row>
    <row r="6" ht="38" customHeight="1">
      <c r="A6" s="11" t="inlineStr">
        <is>
          <t>Status editing</t>
        </is>
      </c>
      <c r="B6" s="10" t="inlineStr">
        <is>
          <t>Edit User Stories column I; Dashboard formulas update from that sheet.</t>
        </is>
      </c>
    </row>
    <row r="7" ht="38" customHeight="1">
      <c r="A7" s="11" t="inlineStr">
        <is>
          <t>Human gate</t>
        </is>
      </c>
      <c r="B7" s="10" t="inlineStr">
        <is>
          <t>Ogedei requires a separate Telegram credential.</t>
        </is>
      </c>
    </row>
    <row r="8" ht="38" customHeight="1">
      <c r="A8" s="11" t="inlineStr">
        <is>
          <t>Security</t>
        </is>
      </c>
      <c r="B8" s="10" t="inlineStr">
        <is>
          <t>No credentials, chat IDs, OAuth files, private Brain content, sessions, or runtime databases are included.</t>
        </is>
      </c>
    </row>
    <row r="9" ht="38" customHeight="1">
      <c r="A9" s="11" t="inlineStr">
        <is>
          <t>Generated</t>
        </is>
      </c>
      <c r="B9" s="10" t="inlineStr">
        <is>
          <t>2026-06-23T01:50:08.067Z</t>
        </is>
      </c>
    </row>
  </sheetData>
  <autoFilter ref="A1:B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Cerberus Kurultai validation</dc:creator>
  <dc:title>Kurultai Feature &amp; User-Story Validation — Cerberus</dc:title>
  <dc:description>Sanitized canonical tracker for 333 Kurultai feature user stories.</dc:description>
  <dc:subject>Canonical feature, test, and defect tracker</dc:subject>
  <dcterms:created xsi:type="dcterms:W3CDTF">2026-06-23T01:54:11Z</dcterms:created>
  <dcterms:modified xsi:type="dcterms:W3CDTF">2026-06-23T01:54:11Z</dcterms:modified>
</cp:coreProperties>
</file>